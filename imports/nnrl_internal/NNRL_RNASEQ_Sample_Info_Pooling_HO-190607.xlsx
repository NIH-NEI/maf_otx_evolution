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nih-my.sharepoint.com/personal/pals2_nih_gov/Documents/My Research/Maf Evolution/Manuscript/"/>
    </mc:Choice>
  </mc:AlternateContent>
  <xr:revisionPtr revIDLastSave="0" documentId="13_ncr:1_{49CAAC85-C942-4F5E-9CB9-CB922DAFA3D0}" xr6:coauthVersionLast="47" xr6:coauthVersionMax="47" xr10:uidLastSave="{00000000-0000-0000-0000-000000000000}"/>
  <bookViews>
    <workbookView xWindow="5920" yWindow="760" windowWidth="17860" windowHeight="14860" xr2:uid="{00000000-000D-0000-FFFF-FFFF00000000}"/>
  </bookViews>
  <sheets>
    <sheet name="Pools" sheetId="6" r:id="rId1"/>
    <sheet name="Noor-10nM_adjusted-upper-marker" sheetId="8" r:id="rId2"/>
    <sheet name="Noor-2.5nM-Pools_2019-06-11 - 1" sheetId="9" r:id="rId3"/>
    <sheet name="Final Pools" sheetId="7" r:id="rId4"/>
  </sheets>
  <definedNames>
    <definedName name="_xlnm.Print_Titles" localSheetId="0">Pools!$1:$1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7" l="1"/>
  <c r="I5" i="9"/>
  <c r="I8" i="9"/>
  <c r="I2" i="9"/>
  <c r="L53" i="6" l="1"/>
  <c r="N53" i="6" s="1"/>
  <c r="O53" i="6" s="1"/>
  <c r="L54" i="6"/>
  <c r="N54" i="6" s="1"/>
  <c r="O54" i="6" s="1"/>
  <c r="L55" i="6"/>
  <c r="N55" i="6" s="1"/>
  <c r="O55" i="6" s="1"/>
  <c r="L56" i="6"/>
  <c r="N56" i="6" s="1"/>
  <c r="O56" i="6" s="1"/>
  <c r="L57" i="6"/>
  <c r="N57" i="6" s="1"/>
  <c r="O57" i="6" s="1"/>
  <c r="L58" i="6"/>
  <c r="N58" i="6" s="1"/>
  <c r="O58" i="6" s="1"/>
  <c r="L59" i="6"/>
  <c r="N59" i="6" s="1"/>
  <c r="O59" i="6" s="1"/>
  <c r="L60" i="6"/>
  <c r="N60" i="6" s="1"/>
  <c r="O60" i="6" s="1"/>
  <c r="L61" i="6"/>
  <c r="N61" i="6" s="1"/>
  <c r="O61" i="6" s="1"/>
  <c r="L62" i="6"/>
  <c r="N62" i="6" s="1"/>
  <c r="O62" i="6" s="1"/>
  <c r="L63" i="6"/>
  <c r="N63" i="6" s="1"/>
  <c r="O63" i="6" s="1"/>
  <c r="L64" i="6"/>
  <c r="N64" i="6" s="1"/>
  <c r="O64" i="6" s="1"/>
  <c r="L65" i="6"/>
  <c r="N65" i="6"/>
  <c r="O65" i="6" s="1"/>
  <c r="L66" i="6"/>
  <c r="N66" i="6" s="1"/>
  <c r="O66" i="6" s="1"/>
  <c r="L52" i="6"/>
  <c r="L28" i="6"/>
  <c r="N28" i="6" s="1"/>
  <c r="O28" i="6" s="1"/>
  <c r="L29" i="6"/>
  <c r="N29" i="6" s="1"/>
  <c r="O29" i="6" s="1"/>
  <c r="L30" i="6"/>
  <c r="N30" i="6" s="1"/>
  <c r="O30" i="6" s="1"/>
  <c r="L31" i="6"/>
  <c r="N31" i="6" s="1"/>
  <c r="O31" i="6" s="1"/>
  <c r="L32" i="6"/>
  <c r="N32" i="6" s="1"/>
  <c r="O32" i="6" s="1"/>
  <c r="L33" i="6"/>
  <c r="N33" i="6" s="1"/>
  <c r="O33" i="6" s="1"/>
  <c r="L34" i="6"/>
  <c r="N34" i="6" s="1"/>
  <c r="O34" i="6" s="1"/>
  <c r="L35" i="6"/>
  <c r="N35" i="6" s="1"/>
  <c r="O35" i="6" s="1"/>
  <c r="L36" i="6"/>
  <c r="N36" i="6" s="1"/>
  <c r="O36" i="6" s="1"/>
  <c r="L37" i="6"/>
  <c r="N37" i="6" s="1"/>
  <c r="O37" i="6" s="1"/>
  <c r="L38" i="6"/>
  <c r="N38" i="6"/>
  <c r="O38" i="6" s="1"/>
  <c r="L39" i="6"/>
  <c r="N39" i="6"/>
  <c r="O39" i="6" s="1"/>
  <c r="L40" i="6"/>
  <c r="N40" i="6" s="1"/>
  <c r="O40" i="6" s="1"/>
  <c r="L41" i="6"/>
  <c r="N41" i="6" s="1"/>
  <c r="O41" i="6" s="1"/>
  <c r="L42" i="6"/>
  <c r="N42" i="6" s="1"/>
  <c r="O42" i="6" s="1"/>
  <c r="L43" i="6"/>
  <c r="N43" i="6" s="1"/>
  <c r="O43" i="6" s="1"/>
  <c r="L44" i="6"/>
  <c r="N44" i="6" s="1"/>
  <c r="O44" i="6" s="1"/>
  <c r="L45" i="6"/>
  <c r="N45" i="6" s="1"/>
  <c r="O45" i="6" s="1"/>
  <c r="L46" i="6"/>
  <c r="N46" i="6"/>
  <c r="O46" i="6" s="1"/>
  <c r="L47" i="6"/>
  <c r="N47" i="6" s="1"/>
  <c r="O47" i="6" s="1"/>
  <c r="L48" i="6"/>
  <c r="N48" i="6" s="1"/>
  <c r="O48" i="6" s="1"/>
  <c r="L49" i="6"/>
  <c r="N49" i="6" s="1"/>
  <c r="O49" i="6" s="1"/>
  <c r="L50" i="6"/>
  <c r="N50" i="6" s="1"/>
  <c r="O50" i="6" s="1"/>
  <c r="L27" i="6"/>
  <c r="L25" i="6"/>
  <c r="L2" i="6"/>
  <c r="L3" i="6"/>
  <c r="N3" i="6" s="1"/>
  <c r="O3" i="6" s="1"/>
  <c r="L4" i="6"/>
  <c r="N4" i="6" s="1"/>
  <c r="O4" i="6" s="1"/>
  <c r="L5" i="6"/>
  <c r="N5" i="6" s="1"/>
  <c r="O5" i="6" s="1"/>
  <c r="L6" i="6"/>
  <c r="N6" i="6" s="1"/>
  <c r="O6" i="6" s="1"/>
  <c r="L7" i="6"/>
  <c r="N7" i="6" s="1"/>
  <c r="O7" i="6" s="1"/>
  <c r="L8" i="6"/>
  <c r="N8" i="6" s="1"/>
  <c r="O8" i="6" s="1"/>
  <c r="L9" i="6"/>
  <c r="N9" i="6" s="1"/>
  <c r="O9" i="6" s="1"/>
  <c r="L10" i="6"/>
  <c r="N10" i="6" s="1"/>
  <c r="O10" i="6" s="1"/>
  <c r="L11" i="6"/>
  <c r="N11" i="6" s="1"/>
  <c r="O11" i="6" s="1"/>
  <c r="L12" i="6"/>
  <c r="N12" i="6" s="1"/>
  <c r="O12" i="6" s="1"/>
  <c r="L13" i="6"/>
  <c r="N13" i="6" s="1"/>
  <c r="O13" i="6" s="1"/>
  <c r="L14" i="6"/>
  <c r="N14" i="6" s="1"/>
  <c r="O14" i="6" s="1"/>
  <c r="L15" i="6"/>
  <c r="N15" i="6" s="1"/>
  <c r="O15" i="6" s="1"/>
  <c r="L16" i="6"/>
  <c r="N16" i="6" s="1"/>
  <c r="O16" i="6" s="1"/>
  <c r="L17" i="6"/>
  <c r="N17" i="6" s="1"/>
  <c r="O17" i="6" s="1"/>
  <c r="L18" i="6"/>
  <c r="N18" i="6" s="1"/>
  <c r="O18" i="6" s="1"/>
  <c r="L19" i="6"/>
  <c r="N19" i="6" s="1"/>
  <c r="O19" i="6" s="1"/>
  <c r="L20" i="6"/>
  <c r="N20" i="6" s="1"/>
  <c r="O20" i="6" s="1"/>
  <c r="L21" i="6"/>
  <c r="N21" i="6" s="1"/>
  <c r="O21" i="6" s="1"/>
  <c r="L22" i="6"/>
  <c r="N22" i="6" s="1"/>
  <c r="O22" i="6" s="1"/>
  <c r="L23" i="6"/>
  <c r="N23" i="6" s="1"/>
  <c r="O23" i="6" s="1"/>
  <c r="L24" i="6"/>
  <c r="N24" i="6" s="1"/>
  <c r="O24" i="6" s="1"/>
  <c r="N25" i="6"/>
  <c r="O25" i="6" s="1"/>
  <c r="C8" i="7" l="1"/>
  <c r="D8" i="7" s="1"/>
  <c r="C7" i="7"/>
  <c r="D7" i="7" s="1"/>
  <c r="D6" i="7"/>
  <c r="N52" i="6"/>
  <c r="O52" i="6" s="1"/>
  <c r="T52" i="6" s="1"/>
  <c r="N27" i="6"/>
  <c r="O27" i="6" s="1"/>
  <c r="T27" i="6" s="1"/>
  <c r="N2" i="6"/>
  <c r="O2" i="6" s="1"/>
  <c r="T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Linn Gieser</author>
  </authors>
  <commentList>
    <comment ref="O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Volume of library = 
Vol(final) x Conc(final) / 
(# of libraries to be pooled) x Conc(initial)</t>
        </r>
      </text>
    </comment>
  </commentList>
</comments>
</file>

<file path=xl/sharedStrings.xml><?xml version="1.0" encoding="utf-8"?>
<sst xmlns="http://schemas.openxmlformats.org/spreadsheetml/2006/main" count="712" uniqueCount="262">
  <si>
    <t>Lane</t>
  </si>
  <si>
    <t>Description</t>
  </si>
  <si>
    <t xml:space="preserve"> = Volume of Diluted Library (uL)</t>
  </si>
  <si>
    <t>Pool Volume</t>
  </si>
  <si>
    <t>Library ID</t>
  </si>
  <si>
    <t>Number of Libraries</t>
  </si>
  <si>
    <t>Final Pool Conc (nM)</t>
  </si>
  <si>
    <t>Initials</t>
  </si>
  <si>
    <t>#</t>
  </si>
  <si>
    <t>H2O (uL)</t>
  </si>
  <si>
    <t>Index 1</t>
  </si>
  <si>
    <t>Index 2</t>
  </si>
  <si>
    <t>Final denatured library pool concentration for Clustering (each lane) =  11 pM</t>
  </si>
  <si>
    <t>Fold Dilution*</t>
  </si>
  <si>
    <t>Diluted Conc. [nM]</t>
  </si>
  <si>
    <t>* 1:2 Dilutions = 3 uL Sample + 3 uL H2O</t>
  </si>
  <si>
    <t>* 1:3 Dilutions = 3 uL Sample + 6 uL H2O</t>
  </si>
  <si>
    <t>* 1:5 Dilutions = 3 uL Sample + 12 uL H2O</t>
  </si>
  <si>
    <t>* 1:10 Dilutions = 3 uL Sample + 27 uL H2O</t>
  </si>
  <si>
    <t>Final BA Filename</t>
  </si>
  <si>
    <t>Project</t>
  </si>
  <si>
    <t>Fraction of Libraries</t>
  </si>
  <si>
    <t>Description2</t>
  </si>
  <si>
    <t>Final BA HS [pM]</t>
  </si>
  <si>
    <t>[pM to nM]</t>
  </si>
  <si>
    <t>Optional - Spike in 1% PhiX (each lane).</t>
  </si>
  <si>
    <t>For Final pooling :  10 uL</t>
  </si>
  <si>
    <t>Pool</t>
  </si>
  <si>
    <t>Avg pM</t>
  </si>
  <si>
    <t>Amt Pool (uL)</t>
  </si>
  <si>
    <t>Final Conc. (nM)</t>
  </si>
  <si>
    <t xml:space="preserve"> 1-3</t>
  </si>
  <si>
    <t xml:space="preserve"> 4-6</t>
  </si>
  <si>
    <t>FileName</t>
  </si>
  <si>
    <t>WellId</t>
  </si>
  <si>
    <t>Sample Description</t>
  </si>
  <si>
    <t>From [bp]</t>
  </si>
  <si>
    <t>To [bp]</t>
  </si>
  <si>
    <t>Average Size [bp]</t>
  </si>
  <si>
    <t>Conc. [pg/µl]</t>
  </si>
  <si>
    <t>Region Molarity [pmol/l]</t>
  </si>
  <si>
    <t>2019-06-06 - 14.56.12.HSD1000</t>
  </si>
  <si>
    <t>A1</t>
  </si>
  <si>
    <t>R42019-241</t>
  </si>
  <si>
    <t>B1</t>
  </si>
  <si>
    <t>R42019-242</t>
  </si>
  <si>
    <t>C1</t>
  </si>
  <si>
    <t>R42019-243</t>
  </si>
  <si>
    <t>D1</t>
  </si>
  <si>
    <t>R42019-244</t>
  </si>
  <si>
    <t>E1</t>
  </si>
  <si>
    <t>R42019-245</t>
  </si>
  <si>
    <t>F1</t>
  </si>
  <si>
    <t>R42019-246</t>
  </si>
  <si>
    <t>G1</t>
  </si>
  <si>
    <t>R42019-247</t>
  </si>
  <si>
    <t>H1</t>
  </si>
  <si>
    <t>R42019-248</t>
  </si>
  <si>
    <t>A2</t>
  </si>
  <si>
    <t>R42019-249</t>
  </si>
  <si>
    <t>B2</t>
  </si>
  <si>
    <t>R42019-250</t>
  </si>
  <si>
    <t>C2</t>
  </si>
  <si>
    <t>R42019-251</t>
  </si>
  <si>
    <t>D2</t>
  </si>
  <si>
    <t>R42019-252</t>
  </si>
  <si>
    <t>E2</t>
  </si>
  <si>
    <t>R42019-253</t>
  </si>
  <si>
    <t>F2</t>
  </si>
  <si>
    <t>R42019-254</t>
  </si>
  <si>
    <t>G2</t>
  </si>
  <si>
    <t>R42019-255</t>
  </si>
  <si>
    <t>H2</t>
  </si>
  <si>
    <t>R42019-256</t>
  </si>
  <si>
    <t>A3</t>
  </si>
  <si>
    <t>R42019-257</t>
  </si>
  <si>
    <t>B3</t>
  </si>
  <si>
    <t>R42019-258</t>
  </si>
  <si>
    <t>C3</t>
  </si>
  <si>
    <t>R42019-259</t>
  </si>
  <si>
    <t>D3</t>
  </si>
  <si>
    <t>R42019-260</t>
  </si>
  <si>
    <t>E3</t>
  </si>
  <si>
    <t>R42019-261</t>
  </si>
  <si>
    <t>F3</t>
  </si>
  <si>
    <t>R42019-262</t>
  </si>
  <si>
    <t>G3</t>
  </si>
  <si>
    <t>R42019-263</t>
  </si>
  <si>
    <t>H3</t>
  </si>
  <si>
    <t>R42019-264</t>
  </si>
  <si>
    <t>A4</t>
  </si>
  <si>
    <t>R42019-265</t>
  </si>
  <si>
    <t>B4</t>
  </si>
  <si>
    <t>R42019-266</t>
  </si>
  <si>
    <t>C4</t>
  </si>
  <si>
    <t>R42019-267</t>
  </si>
  <si>
    <t>D4</t>
  </si>
  <si>
    <t>R42019-268</t>
  </si>
  <si>
    <t>E4</t>
  </si>
  <si>
    <t>R42019-269</t>
  </si>
  <si>
    <t>F4</t>
  </si>
  <si>
    <t>R42019-270</t>
  </si>
  <si>
    <t>G4</t>
  </si>
  <si>
    <t>R42019-271</t>
  </si>
  <si>
    <t>H4</t>
  </si>
  <si>
    <t>R42019-272</t>
  </si>
  <si>
    <t>A5</t>
  </si>
  <si>
    <t>R42019-273</t>
  </si>
  <si>
    <t>B5</t>
  </si>
  <si>
    <t>R42019-274</t>
  </si>
  <si>
    <t>C5</t>
  </si>
  <si>
    <t>R42019-275</t>
  </si>
  <si>
    <t>D5</t>
  </si>
  <si>
    <t>R42019-276</t>
  </si>
  <si>
    <t>E5</t>
  </si>
  <si>
    <t>R42019-277</t>
  </si>
  <si>
    <t>F5</t>
  </si>
  <si>
    <t>R42019-278</t>
  </si>
  <si>
    <t>G5</t>
  </si>
  <si>
    <t>R42019-279</t>
  </si>
  <si>
    <t>H5</t>
  </si>
  <si>
    <t>R42019-280</t>
  </si>
  <si>
    <t>A6</t>
  </si>
  <si>
    <t>R42019-281</t>
  </si>
  <si>
    <t>B6</t>
  </si>
  <si>
    <t>R42019-282</t>
  </si>
  <si>
    <t>C6</t>
  </si>
  <si>
    <t>R42019-283</t>
  </si>
  <si>
    <t>D6</t>
  </si>
  <si>
    <t>R42019-284</t>
  </si>
  <si>
    <t>E6</t>
  </si>
  <si>
    <t>R42019-285</t>
  </si>
  <si>
    <t>F6</t>
  </si>
  <si>
    <t>R42019-286</t>
  </si>
  <si>
    <t>G6</t>
  </si>
  <si>
    <t>R42019-287</t>
  </si>
  <si>
    <t>H6</t>
  </si>
  <si>
    <t>R42019-288</t>
  </si>
  <si>
    <t>A7</t>
  </si>
  <si>
    <t>R42019-289</t>
  </si>
  <si>
    <t>B7</t>
  </si>
  <si>
    <t>R42019-290</t>
  </si>
  <si>
    <t>C7</t>
  </si>
  <si>
    <t>R42019-291</t>
  </si>
  <si>
    <t>D7</t>
  </si>
  <si>
    <t>R42019-292</t>
  </si>
  <si>
    <t>E7</t>
  </si>
  <si>
    <t>R42019-293</t>
  </si>
  <si>
    <t>F7</t>
  </si>
  <si>
    <t>R42019-294</t>
  </si>
  <si>
    <t>G7</t>
  </si>
  <si>
    <t>R42019-295</t>
  </si>
  <si>
    <t>H7</t>
  </si>
  <si>
    <t>R42019-296</t>
  </si>
  <si>
    <t>A8</t>
  </si>
  <si>
    <t>R42019-297</t>
  </si>
  <si>
    <t>B8</t>
  </si>
  <si>
    <t>R42019-298</t>
  </si>
  <si>
    <t>C8</t>
  </si>
  <si>
    <t>R42019-299</t>
  </si>
  <si>
    <t>D8</t>
  </si>
  <si>
    <t>R42019-300</t>
  </si>
  <si>
    <t>E8</t>
  </si>
  <si>
    <t>R42019-301</t>
  </si>
  <si>
    <t>F8</t>
  </si>
  <si>
    <t>R42019-302</t>
  </si>
  <si>
    <t>G8</t>
  </si>
  <si>
    <t>R42019-303</t>
  </si>
  <si>
    <t xml:space="preserve"> 7-8</t>
  </si>
  <si>
    <t>GA1R</t>
  </si>
  <si>
    <t>Index 5</t>
  </si>
  <si>
    <t>none</t>
  </si>
  <si>
    <t>GA2L</t>
  </si>
  <si>
    <t>Index 8</t>
  </si>
  <si>
    <t>GA3L</t>
  </si>
  <si>
    <t>Index 25</t>
  </si>
  <si>
    <t>SC1R</t>
  </si>
  <si>
    <t>Index 13</t>
  </si>
  <si>
    <t>SC5L</t>
  </si>
  <si>
    <t>Index 14</t>
  </si>
  <si>
    <t>SC2R</t>
  </si>
  <si>
    <t>CJ37R</t>
  </si>
  <si>
    <t>Index 15</t>
  </si>
  <si>
    <t>CJ38L</t>
  </si>
  <si>
    <t>Index 27</t>
  </si>
  <si>
    <t>CJ39R</t>
  </si>
  <si>
    <t>Index 7</t>
  </si>
  <si>
    <t>Alligator1</t>
  </si>
  <si>
    <t>Index 16</t>
  </si>
  <si>
    <t>Cow2</t>
  </si>
  <si>
    <t>Cow3</t>
  </si>
  <si>
    <t>Index 22</t>
  </si>
  <si>
    <t>Cow4</t>
  </si>
  <si>
    <t>Index 12</t>
  </si>
  <si>
    <t>Sal1R</t>
  </si>
  <si>
    <t>Index 23</t>
  </si>
  <si>
    <t>Sal3L</t>
  </si>
  <si>
    <t>Index 9</t>
  </si>
  <si>
    <t>Sal4L</t>
  </si>
  <si>
    <t>Index 6</t>
  </si>
  <si>
    <t>XT1R</t>
  </si>
  <si>
    <t>Index 11</t>
  </si>
  <si>
    <t>XT2R</t>
  </si>
  <si>
    <t>Index 18</t>
  </si>
  <si>
    <t>XT4L</t>
  </si>
  <si>
    <t>Index 19</t>
  </si>
  <si>
    <t>E1R</t>
  </si>
  <si>
    <t>Index 20</t>
  </si>
  <si>
    <t>E2R</t>
  </si>
  <si>
    <t>Index 21</t>
  </si>
  <si>
    <t>E3L</t>
  </si>
  <si>
    <t>Index 10</t>
  </si>
  <si>
    <t>BG1R</t>
  </si>
  <si>
    <t>Index 4</t>
  </si>
  <si>
    <t>LLamp1</t>
  </si>
  <si>
    <t>Index 3</t>
  </si>
  <si>
    <t>NW</t>
  </si>
  <si>
    <t>MLB368</t>
  </si>
  <si>
    <t>MLB372</t>
  </si>
  <si>
    <t>MLB375</t>
  </si>
  <si>
    <t>MLB370</t>
  </si>
  <si>
    <t>CVD250</t>
  </si>
  <si>
    <t>CVD239</t>
  </si>
  <si>
    <t>CVD238</t>
  </si>
  <si>
    <t>CVD247</t>
  </si>
  <si>
    <t>Pigeon2</t>
  </si>
  <si>
    <t>Pigeon4</t>
  </si>
  <si>
    <t>Pigeon3</t>
  </si>
  <si>
    <t>TA1L</t>
  </si>
  <si>
    <t>BUD1L</t>
  </si>
  <si>
    <t>BUD2R</t>
  </si>
  <si>
    <t>BUD3R</t>
  </si>
  <si>
    <t>ZF2R</t>
  </si>
  <si>
    <t>ZF3L</t>
  </si>
  <si>
    <t>ZF4R</t>
  </si>
  <si>
    <t>AC1R</t>
  </si>
  <si>
    <t>BJ1R</t>
  </si>
  <si>
    <t>BJ2A</t>
  </si>
  <si>
    <t>BV1A</t>
  </si>
  <si>
    <t>SV1R</t>
  </si>
  <si>
    <t>MA1A</t>
  </si>
  <si>
    <t>PO1</t>
  </si>
  <si>
    <t>PO2</t>
  </si>
  <si>
    <t>PO3</t>
  </si>
  <si>
    <t>BG2L</t>
  </si>
  <si>
    <t>BG3R</t>
  </si>
  <si>
    <t>T1R</t>
  </si>
  <si>
    <t>T3L</t>
  </si>
  <si>
    <t>LLamp3</t>
  </si>
  <si>
    <t>SS-B</t>
  </si>
  <si>
    <t>AM4A</t>
  </si>
  <si>
    <t>Lancelet</t>
  </si>
  <si>
    <t>AM14</t>
  </si>
  <si>
    <t>CVD251</t>
  </si>
  <si>
    <t>MLB374</t>
  </si>
  <si>
    <t>MLB364</t>
  </si>
  <si>
    <t>Pool 1-3</t>
  </si>
  <si>
    <t>Pool 4-6</t>
  </si>
  <si>
    <t>Pool 7-8</t>
  </si>
  <si>
    <t>2019-06-11 - 13.29.32.HSD1000</t>
  </si>
  <si>
    <t>Avg</t>
  </si>
  <si>
    <t>NW-Evolution-1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</si>
</sst>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9"/>
      <color indexed="81"/>
      <name val="Tahoma"/>
      <family val="2"/>
    </font>
    <font>
      <b/>
      <sz val="10"/>
      <color theme="1"/>
      <name val="Verdana"/>
      <family val="2"/>
    </font>
    <font>
      <i/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i/>
      <sz val="10"/>
      <color theme="1"/>
      <name val="Verdana"/>
      <family val="2"/>
    </font>
    <font>
      <b/>
      <u/>
      <sz val="10"/>
      <color theme="1"/>
      <name val="Verdana"/>
      <family val="2"/>
    </font>
    <font>
      <sz val="12"/>
      <color theme="1"/>
      <name val="Calibri"/>
      <family val="2"/>
      <scheme val="minor"/>
    </font>
    <font>
      <sz val="10"/>
      <color rgb="FF000000"/>
      <name val="Verdana"/>
      <family val="2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3">
    <xf numFmtId="0" fontId="0" fillId="0" borderId="0"/>
    <xf numFmtId="0" fontId="5" fillId="0" borderId="0"/>
    <xf numFmtId="0" fontId="8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87">
    <xf numFmtId="0" fontId="0" fillId="0" borderId="0" xfId="0"/>
    <xf numFmtId="0" fontId="4" fillId="0" borderId="1" xfId="1" applyFont="1" applyBorder="1" applyAlignment="1">
      <alignment horizontal="left"/>
    </xf>
    <xf numFmtId="0" fontId="3" fillId="0" borderId="1" xfId="1" applyFont="1" applyBorder="1" applyAlignment="1">
      <alignment horizontal="center"/>
    </xf>
    <xf numFmtId="2" fontId="1" fillId="2" borderId="1" xfId="1" applyNumberFormat="1" applyFont="1" applyFill="1" applyBorder="1" applyAlignment="1">
      <alignment horizontal="center"/>
    </xf>
    <xf numFmtId="0" fontId="4" fillId="0" borderId="1" xfId="1" applyFont="1" applyBorder="1"/>
    <xf numFmtId="2" fontId="4" fillId="0" borderId="1" xfId="1" applyNumberFormat="1" applyFont="1" applyBorder="1" applyAlignment="1">
      <alignment horizontal="center"/>
    </xf>
    <xf numFmtId="0" fontId="1" fillId="0" borderId="0" xfId="1" applyFont="1"/>
    <xf numFmtId="0" fontId="4" fillId="0" borderId="0" xfId="1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center"/>
    </xf>
    <xf numFmtId="1" fontId="4" fillId="0" borderId="0" xfId="1" applyNumberFormat="1" applyFont="1"/>
    <xf numFmtId="0" fontId="3" fillId="0" borderId="0" xfId="1" applyFont="1"/>
    <xf numFmtId="0" fontId="1" fillId="0" borderId="0" xfId="1" applyFont="1" applyAlignment="1">
      <alignment horizontal="center" wrapText="1"/>
    </xf>
    <xf numFmtId="0" fontId="3" fillId="0" borderId="0" xfId="1" applyFont="1" applyAlignment="1">
      <alignment horizontal="left"/>
    </xf>
    <xf numFmtId="2" fontId="1" fillId="0" borderId="0" xfId="1" applyNumberFormat="1" applyFont="1" applyAlignment="1">
      <alignment horizontal="center"/>
    </xf>
    <xf numFmtId="2" fontId="4" fillId="0" borderId="0" xfId="1" applyNumberFormat="1" applyFont="1" applyAlignment="1">
      <alignment horizontal="center"/>
    </xf>
    <xf numFmtId="2" fontId="1" fillId="0" borderId="1" xfId="2" applyNumberFormat="1" applyFont="1" applyBorder="1" applyAlignment="1">
      <alignment horizontal="right" vertical="center"/>
    </xf>
    <xf numFmtId="2" fontId="1" fillId="0" borderId="0" xfId="1" applyNumberFormat="1" applyFont="1" applyAlignment="1">
      <alignment horizontal="center" readingOrder="1"/>
    </xf>
    <xf numFmtId="0" fontId="1" fillId="0" borderId="0" xfId="1" applyFont="1" applyAlignment="1">
      <alignment horizontal="center" readingOrder="1"/>
    </xf>
    <xf numFmtId="1" fontId="1" fillId="0" borderId="1" xfId="1" applyNumberFormat="1" applyFont="1" applyBorder="1" applyAlignment="1">
      <alignment horizontal="center" readingOrder="1"/>
    </xf>
    <xf numFmtId="2" fontId="1" fillId="0" borderId="1" xfId="1" applyNumberFormat="1" applyFont="1" applyBorder="1" applyAlignment="1">
      <alignment horizontal="center"/>
    </xf>
    <xf numFmtId="2" fontId="1" fillId="4" borderId="1" xfId="1" applyNumberFormat="1" applyFont="1" applyFill="1" applyBorder="1" applyAlignment="1">
      <alignment horizontal="center"/>
    </xf>
    <xf numFmtId="2" fontId="1" fillId="0" borderId="1" xfId="2" applyNumberFormat="1" applyFont="1" applyBorder="1" applyAlignment="1">
      <alignment horizontal="right" vertical="center" readingOrder="1"/>
    </xf>
    <xf numFmtId="2" fontId="9" fillId="0" borderId="1" xfId="2" applyNumberFormat="1" applyFont="1" applyBorder="1" applyAlignment="1">
      <alignment horizontal="right" readingOrder="1"/>
    </xf>
    <xf numFmtId="0" fontId="1" fillId="0" borderId="0" xfId="1" applyFont="1" applyAlignment="1">
      <alignment horizontal="right" readingOrder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center"/>
    </xf>
    <xf numFmtId="2" fontId="1" fillId="0" borderId="1" xfId="1" applyNumberFormat="1" applyFont="1" applyBorder="1" applyAlignment="1">
      <alignment horizontal="right"/>
    </xf>
    <xf numFmtId="0" fontId="1" fillId="5" borderId="0" xfId="1" applyFont="1" applyFill="1" applyAlignment="1">
      <alignment horizontal="left"/>
    </xf>
    <xf numFmtId="0" fontId="1" fillId="6" borderId="0" xfId="1" applyFont="1" applyFill="1" applyAlignment="1">
      <alignment horizontal="left"/>
    </xf>
    <xf numFmtId="0" fontId="1" fillId="3" borderId="0" xfId="1" applyFont="1" applyFill="1" applyAlignment="1">
      <alignment horizontal="left"/>
    </xf>
    <xf numFmtId="0" fontId="1" fillId="4" borderId="0" xfId="1" applyFont="1" applyFill="1" applyAlignment="1">
      <alignment horizontal="left"/>
    </xf>
    <xf numFmtId="0" fontId="4" fillId="0" borderId="0" xfId="1" applyFont="1" applyAlignment="1">
      <alignment horizontal="left"/>
    </xf>
    <xf numFmtId="0" fontId="4" fillId="0" borderId="0" xfId="1" applyFont="1" applyAlignment="1">
      <alignment horizontal="center"/>
    </xf>
    <xf numFmtId="2" fontId="1" fillId="0" borderId="0" xfId="1" applyNumberFormat="1" applyFont="1" applyAlignment="1">
      <alignment horizontal="right"/>
    </xf>
    <xf numFmtId="1" fontId="1" fillId="0" borderId="0" xfId="1" applyNumberFormat="1" applyFont="1" applyAlignment="1">
      <alignment horizontal="center" readingOrder="1"/>
    </xf>
    <xf numFmtId="2" fontId="1" fillId="0" borderId="0" xfId="1" applyNumberFormat="1" applyFont="1" applyAlignment="1">
      <alignment horizontal="right" readingOrder="1"/>
    </xf>
    <xf numFmtId="0" fontId="1" fillId="0" borderId="1" xfId="2" applyFont="1" applyBorder="1" applyAlignment="1">
      <alignment horizontal="right"/>
    </xf>
    <xf numFmtId="0" fontId="1" fillId="0" borderId="1" xfId="2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2" fontId="1" fillId="0" borderId="1" xfId="2" applyNumberFormat="1" applyFont="1" applyBorder="1" applyAlignment="1">
      <alignment horizontal="center" vertical="center" readingOrder="1"/>
    </xf>
    <xf numFmtId="0" fontId="1" fillId="5" borderId="1" xfId="1" applyFont="1" applyFill="1" applyBorder="1" applyAlignment="1">
      <alignment horizontal="center"/>
    </xf>
    <xf numFmtId="0" fontId="1" fillId="6" borderId="1" xfId="1" applyFont="1" applyFill="1" applyBorder="1" applyAlignment="1">
      <alignment horizontal="center"/>
    </xf>
    <xf numFmtId="0" fontId="1" fillId="3" borderId="1" xfId="1" applyFont="1" applyFill="1" applyBorder="1" applyAlignment="1">
      <alignment horizontal="center"/>
    </xf>
    <xf numFmtId="0" fontId="1" fillId="4" borderId="1" xfId="1" applyFont="1" applyFill="1" applyBorder="1" applyAlignment="1">
      <alignment horizontal="center"/>
    </xf>
    <xf numFmtId="0" fontId="13" fillId="5" borderId="0" xfId="0" applyFont="1" applyFill="1"/>
    <xf numFmtId="0" fontId="13" fillId="5" borderId="0" xfId="0" applyFont="1" applyFill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center"/>
    </xf>
    <xf numFmtId="0" fontId="13" fillId="3" borderId="0" xfId="0" applyFont="1" applyFill="1"/>
    <xf numFmtId="0" fontId="13" fillId="3" borderId="0" xfId="0" applyFont="1" applyFill="1" applyAlignment="1">
      <alignment horizontal="center"/>
    </xf>
    <xf numFmtId="0" fontId="13" fillId="4" borderId="0" xfId="0" applyFont="1" applyFill="1"/>
    <xf numFmtId="0" fontId="13" fillId="4" borderId="0" xfId="0" applyFont="1" applyFill="1" applyAlignment="1">
      <alignment horizontal="center"/>
    </xf>
    <xf numFmtId="0" fontId="10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center"/>
    </xf>
    <xf numFmtId="0" fontId="1" fillId="0" borderId="1" xfId="1" applyFont="1" applyBorder="1" applyAlignment="1">
      <alignment horizontal="right"/>
    </xf>
    <xf numFmtId="0" fontId="6" fillId="0" borderId="1" xfId="1" applyFont="1" applyBorder="1" applyAlignment="1">
      <alignment horizontal="center" wrapText="1" readingOrder="1"/>
    </xf>
    <xf numFmtId="0" fontId="7" fillId="0" borderId="1" xfId="1" applyFont="1" applyBorder="1" applyAlignment="1">
      <alignment horizontal="center" wrapText="1" readingOrder="1"/>
    </xf>
    <xf numFmtId="0" fontId="7" fillId="0" borderId="1" xfId="2" applyFont="1" applyBorder="1" applyAlignment="1">
      <alignment horizontal="center" wrapText="1" readingOrder="1"/>
    </xf>
    <xf numFmtId="2" fontId="1" fillId="2" borderId="1" xfId="1" applyNumberFormat="1" applyFont="1" applyFill="1" applyBorder="1" applyAlignment="1">
      <alignment horizontal="center" wrapText="1" readingOrder="1"/>
    </xf>
    <xf numFmtId="0" fontId="4" fillId="0" borderId="1" xfId="1" applyFont="1" applyBorder="1" applyAlignment="1">
      <alignment horizontal="center" wrapText="1" readingOrder="1"/>
    </xf>
    <xf numFmtId="2" fontId="4" fillId="0" borderId="1" xfId="1" applyNumberFormat="1" applyFont="1" applyBorder="1" applyAlignment="1">
      <alignment horizontal="center" wrapText="1" readingOrder="1"/>
    </xf>
    <xf numFmtId="0" fontId="1" fillId="4" borderId="1" xfId="1" applyFont="1" applyFill="1" applyBorder="1" applyAlignment="1">
      <alignment horizontal="center" wrapText="1" readingOrder="1"/>
    </xf>
    <xf numFmtId="0" fontId="1" fillId="0" borderId="1" xfId="2" applyFont="1" applyBorder="1"/>
    <xf numFmtId="0" fontId="1" fillId="0" borderId="0" xfId="0" applyFont="1"/>
    <xf numFmtId="4" fontId="9" fillId="0" borderId="0" xfId="2" applyNumberFormat="1" applyFont="1" applyAlignment="1">
      <alignment horizontal="right"/>
    </xf>
    <xf numFmtId="0" fontId="4" fillId="0" borderId="1" xfId="1" applyFont="1" applyBorder="1" applyAlignment="1">
      <alignment horizontal="center"/>
    </xf>
    <xf numFmtId="0" fontId="1" fillId="0" borderId="1" xfId="1" applyFont="1" applyBorder="1" applyAlignment="1">
      <alignment horizontal="center" readingOrder="1"/>
    </xf>
    <xf numFmtId="2" fontId="0" fillId="0" borderId="1" xfId="0" applyNumberFormat="1" applyBorder="1" applyAlignment="1">
      <alignment horizontal="right"/>
    </xf>
    <xf numFmtId="14" fontId="3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center"/>
    </xf>
    <xf numFmtId="0" fontId="1" fillId="5" borderId="2" xfId="0" applyFont="1" applyFill="1" applyBorder="1"/>
    <xf numFmtId="0" fontId="1" fillId="7" borderId="2" xfId="0" applyFont="1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/>
    <xf numFmtId="2" fontId="0" fillId="0" borderId="3" xfId="0" applyNumberFormat="1" applyBorder="1"/>
    <xf numFmtId="2" fontId="1" fillId="5" borderId="3" xfId="0" applyNumberFormat="1" applyFont="1" applyFill="1" applyBorder="1"/>
    <xf numFmtId="2" fontId="1" fillId="7" borderId="3" xfId="0" applyNumberFormat="1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7" fillId="0" borderId="1" xfId="2" applyFont="1" applyBorder="1" applyAlignment="1">
      <alignment horizontal="left" wrapText="1" readingOrder="1"/>
    </xf>
    <xf numFmtId="164" fontId="1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10" fillId="0" borderId="1" xfId="0" applyFont="1" applyBorder="1" applyAlignment="1">
      <alignment horizontal="center"/>
    </xf>
  </cellXfs>
  <cellStyles count="13"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  <cellStyle name="Normal 2" xfId="1" xr:uid="{00000000-0005-0000-0000-00000B000000}"/>
    <cellStyle name="Normal 3" xfId="2" xr:uid="{00000000-0005-0000-0000-00000C000000}"/>
  </cellStyles>
  <dxfs count="0"/>
  <tableStyles count="0" defaultTableStyle="TableStyleMedium2" defaultPivotStyle="PivotStyleLight16"/>
  <colors>
    <mruColors>
      <color rgb="FFFFFFCC"/>
      <color rgb="FFFFFF99"/>
      <color rgb="FFFFEB97"/>
      <color rgb="FFFFCC66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91"/>
  <sheetViews>
    <sheetView tabSelected="1" workbookViewId="0">
      <pane ySplit="1" topLeftCell="A2" activePane="bottomLeft" state="frozen"/>
      <selection pane="bottomLeft" activeCell="F2" sqref="F2"/>
    </sheetView>
  </sheetViews>
  <sheetFormatPr baseColWidth="10" defaultColWidth="8.83203125" defaultRowHeight="12.75" customHeight="1" x14ac:dyDescent="0.2"/>
  <cols>
    <col min="1" max="1" width="3.6640625" style="8" customWidth="1"/>
    <col min="2" max="2" width="6.5" style="9" customWidth="1"/>
    <col min="3" max="3" width="14.1640625" style="6" customWidth="1"/>
    <col min="4" max="4" width="13" style="9" bestFit="1" customWidth="1"/>
    <col min="5" max="5" width="14.5" style="9" bestFit="1" customWidth="1"/>
    <col min="6" max="6" width="8.6640625" style="6" customWidth="1"/>
    <col min="7" max="7" width="9.1640625" style="8" customWidth="1"/>
    <col min="8" max="8" width="9.1640625" style="6" customWidth="1"/>
    <col min="9" max="9" width="9.33203125" style="9" customWidth="1"/>
    <col min="10" max="10" width="19.5" style="9" hidden="1" customWidth="1"/>
    <col min="11" max="11" width="10.5" style="6" hidden="1" customWidth="1"/>
    <col min="12" max="12" width="12.6640625" style="18" hidden="1" customWidth="1"/>
    <col min="13" max="13" width="10.1640625" style="18" customWidth="1"/>
    <col min="14" max="14" width="8.33203125" style="24" bestFit="1" customWidth="1"/>
    <col min="15" max="15" width="13.5" style="6" bestFit="1" customWidth="1"/>
    <col min="16" max="16" width="10" style="6" hidden="1" customWidth="1"/>
    <col min="17" max="17" width="9.6640625" style="7" customWidth="1"/>
    <col min="18" max="18" width="8" style="6" customWidth="1"/>
    <col min="19" max="19" width="10" style="6" bestFit="1" customWidth="1"/>
    <col min="20" max="20" width="9" style="6" bestFit="1" customWidth="1"/>
    <col min="21" max="21" width="11.5" bestFit="1" customWidth="1"/>
    <col min="23" max="23" width="14.6640625" bestFit="1" customWidth="1"/>
  </cols>
  <sheetData>
    <row r="1" spans="1:20" ht="43" x14ac:dyDescent="0.2">
      <c r="A1" s="57" t="s">
        <v>8</v>
      </c>
      <c r="B1" s="58" t="s">
        <v>0</v>
      </c>
      <c r="C1" s="59" t="s">
        <v>4</v>
      </c>
      <c r="D1" s="58" t="s">
        <v>1</v>
      </c>
      <c r="E1" s="58" t="s">
        <v>22</v>
      </c>
      <c r="F1" s="58" t="s">
        <v>20</v>
      </c>
      <c r="G1" s="83" t="s">
        <v>10</v>
      </c>
      <c r="H1" s="59" t="s">
        <v>11</v>
      </c>
      <c r="I1" s="58" t="s">
        <v>7</v>
      </c>
      <c r="J1" s="59" t="s">
        <v>19</v>
      </c>
      <c r="K1" s="59" t="s">
        <v>23</v>
      </c>
      <c r="L1" s="59" t="s">
        <v>24</v>
      </c>
      <c r="M1" s="59" t="s">
        <v>13</v>
      </c>
      <c r="N1" s="59" t="s">
        <v>14</v>
      </c>
      <c r="O1" s="60" t="s">
        <v>2</v>
      </c>
      <c r="P1" s="61" t="s">
        <v>21</v>
      </c>
      <c r="Q1" s="61" t="s">
        <v>5</v>
      </c>
      <c r="R1" s="61" t="s">
        <v>3</v>
      </c>
      <c r="S1" s="62" t="s">
        <v>6</v>
      </c>
      <c r="T1" s="63" t="s">
        <v>9</v>
      </c>
    </row>
    <row r="2" spans="1:20" ht="12.75" customHeight="1" x14ac:dyDescent="0.2">
      <c r="A2" s="67">
        <v>1</v>
      </c>
      <c r="B2" s="2" t="s">
        <v>31</v>
      </c>
      <c r="C2" s="68" t="s">
        <v>43</v>
      </c>
      <c r="D2" s="26">
        <v>1</v>
      </c>
      <c r="E2" s="25" t="s">
        <v>169</v>
      </c>
      <c r="F2" s="25" t="s">
        <v>261</v>
      </c>
      <c r="G2" s="40" t="s">
        <v>170</v>
      </c>
      <c r="H2" s="26" t="s">
        <v>171</v>
      </c>
      <c r="I2" s="20" t="s">
        <v>216</v>
      </c>
      <c r="J2" s="69"/>
      <c r="K2" s="16">
        <v>12000</v>
      </c>
      <c r="L2" s="41">
        <f>K2/1000</f>
        <v>12</v>
      </c>
      <c r="M2" s="19">
        <v>1</v>
      </c>
      <c r="N2" s="22">
        <f>L2/M2</f>
        <v>12</v>
      </c>
      <c r="O2" s="3">
        <f>($R$2*$S$2)/($Q$2*N2)</f>
        <v>2.3871527777777777</v>
      </c>
      <c r="P2" s="20"/>
      <c r="Q2" s="4">
        <v>24</v>
      </c>
      <c r="R2" s="4">
        <v>275</v>
      </c>
      <c r="S2" s="5">
        <v>2.5</v>
      </c>
      <c r="T2" s="21">
        <f>R2-(SUM(O2:O25))</f>
        <v>210.5651989064848</v>
      </c>
    </row>
    <row r="3" spans="1:20" ht="12.75" customHeight="1" x14ac:dyDescent="0.2">
      <c r="A3" s="67">
        <v>2</v>
      </c>
      <c r="B3" s="2" t="s">
        <v>31</v>
      </c>
      <c r="C3" s="68" t="s">
        <v>45</v>
      </c>
      <c r="D3" s="26">
        <v>2</v>
      </c>
      <c r="E3" s="25" t="s">
        <v>172</v>
      </c>
      <c r="F3" s="25" t="s">
        <v>261</v>
      </c>
      <c r="G3" s="40" t="s">
        <v>173</v>
      </c>
      <c r="H3" s="26" t="s">
        <v>171</v>
      </c>
      <c r="I3" s="20" t="s">
        <v>216</v>
      </c>
      <c r="J3" s="69"/>
      <c r="K3" s="16">
        <v>13900</v>
      </c>
      <c r="L3" s="41">
        <f t="shared" ref="L3:L24" si="0">K3/1000</f>
        <v>13.9</v>
      </c>
      <c r="M3" s="19">
        <v>1</v>
      </c>
      <c r="N3" s="22">
        <f t="shared" ref="N3:N25" si="1">L3/M3</f>
        <v>13.9</v>
      </c>
      <c r="O3" s="3">
        <f t="shared" ref="O3:O24" si="2">($R$2*$S$2)/($Q$2*N3)</f>
        <v>2.0608513189448439</v>
      </c>
      <c r="P3" s="20"/>
      <c r="Q3" s="4"/>
      <c r="R3" s="4"/>
      <c r="S3" s="5"/>
      <c r="T3" s="21"/>
    </row>
    <row r="4" spans="1:20" ht="12.75" customHeight="1" x14ac:dyDescent="0.2">
      <c r="A4" s="67">
        <v>3</v>
      </c>
      <c r="B4" s="2" t="s">
        <v>31</v>
      </c>
      <c r="C4" s="68" t="s">
        <v>47</v>
      </c>
      <c r="D4" s="82">
        <v>3</v>
      </c>
      <c r="E4" s="25" t="s">
        <v>174</v>
      </c>
      <c r="F4" s="25" t="s">
        <v>261</v>
      </c>
      <c r="G4" s="40" t="s">
        <v>175</v>
      </c>
      <c r="H4" s="26" t="s">
        <v>171</v>
      </c>
      <c r="I4" s="20" t="s">
        <v>216</v>
      </c>
      <c r="J4" s="69"/>
      <c r="K4" s="16">
        <v>12500</v>
      </c>
      <c r="L4" s="41">
        <f t="shared" si="0"/>
        <v>12.5</v>
      </c>
      <c r="M4" s="19">
        <v>1</v>
      </c>
      <c r="N4" s="22">
        <f t="shared" si="1"/>
        <v>12.5</v>
      </c>
      <c r="O4" s="3">
        <f t="shared" si="2"/>
        <v>2.2916666666666665</v>
      </c>
      <c r="P4" s="20"/>
      <c r="Q4" s="4"/>
      <c r="R4" s="4"/>
      <c r="S4" s="5"/>
      <c r="T4" s="21"/>
    </row>
    <row r="5" spans="1:20" ht="12.75" customHeight="1" x14ac:dyDescent="0.2">
      <c r="A5" s="67">
        <v>4</v>
      </c>
      <c r="B5" s="2" t="s">
        <v>31</v>
      </c>
      <c r="C5" s="68" t="s">
        <v>49</v>
      </c>
      <c r="D5" s="82">
        <v>4</v>
      </c>
      <c r="E5" s="25" t="s">
        <v>176</v>
      </c>
      <c r="F5" s="25" t="s">
        <v>261</v>
      </c>
      <c r="G5" s="40" t="s">
        <v>177</v>
      </c>
      <c r="H5" s="26" t="s">
        <v>171</v>
      </c>
      <c r="I5" s="20" t="s">
        <v>216</v>
      </c>
      <c r="J5" s="69"/>
      <c r="K5" s="16">
        <v>9570</v>
      </c>
      <c r="L5" s="41">
        <f t="shared" si="0"/>
        <v>9.57</v>
      </c>
      <c r="M5" s="19">
        <v>1</v>
      </c>
      <c r="N5" s="22">
        <f t="shared" si="1"/>
        <v>9.57</v>
      </c>
      <c r="O5" s="3">
        <f>($R$2*$S$2)/($Q$2*N5)</f>
        <v>2.9932950191570882</v>
      </c>
      <c r="P5" s="20"/>
      <c r="Q5" s="4"/>
      <c r="R5" s="4"/>
      <c r="S5" s="5"/>
      <c r="T5" s="21"/>
    </row>
    <row r="6" spans="1:20" ht="12.75" customHeight="1" x14ac:dyDescent="0.2">
      <c r="A6" s="67">
        <v>5</v>
      </c>
      <c r="B6" s="2" t="s">
        <v>31</v>
      </c>
      <c r="C6" s="68" t="s">
        <v>51</v>
      </c>
      <c r="D6" s="82">
        <v>5</v>
      </c>
      <c r="E6" s="25" t="s">
        <v>178</v>
      </c>
      <c r="F6" s="25" t="s">
        <v>261</v>
      </c>
      <c r="G6" s="40" t="s">
        <v>179</v>
      </c>
      <c r="H6" s="26" t="s">
        <v>171</v>
      </c>
      <c r="I6" s="20" t="s">
        <v>216</v>
      </c>
      <c r="J6" s="69"/>
      <c r="K6" s="16">
        <v>10200</v>
      </c>
      <c r="L6" s="41">
        <f t="shared" si="0"/>
        <v>10.199999999999999</v>
      </c>
      <c r="M6" s="19">
        <v>1</v>
      </c>
      <c r="N6" s="22">
        <f t="shared" si="1"/>
        <v>10.199999999999999</v>
      </c>
      <c r="O6" s="3">
        <f t="shared" si="2"/>
        <v>2.8084150326797386</v>
      </c>
      <c r="P6" s="20"/>
      <c r="Q6" s="4"/>
      <c r="R6" s="4"/>
      <c r="S6" s="5"/>
      <c r="T6" s="21"/>
    </row>
    <row r="7" spans="1:20" ht="12.75" customHeight="1" x14ac:dyDescent="0.2">
      <c r="A7" s="67">
        <v>6</v>
      </c>
      <c r="B7" s="2" t="s">
        <v>31</v>
      </c>
      <c r="C7" s="68" t="s">
        <v>53</v>
      </c>
      <c r="D7" s="82">
        <v>6</v>
      </c>
      <c r="E7" s="25" t="s">
        <v>180</v>
      </c>
      <c r="F7" s="25" t="s">
        <v>261</v>
      </c>
      <c r="G7" s="40" t="s">
        <v>10</v>
      </c>
      <c r="H7" s="26" t="s">
        <v>171</v>
      </c>
      <c r="I7" s="20" t="s">
        <v>216</v>
      </c>
      <c r="J7" s="69"/>
      <c r="K7" s="16">
        <v>10100</v>
      </c>
      <c r="L7" s="41">
        <f t="shared" si="0"/>
        <v>10.1</v>
      </c>
      <c r="M7" s="19">
        <v>1</v>
      </c>
      <c r="N7" s="22">
        <f t="shared" si="1"/>
        <v>10.1</v>
      </c>
      <c r="O7" s="3">
        <f t="shared" si="2"/>
        <v>2.8362211221122116</v>
      </c>
      <c r="P7" s="20"/>
      <c r="Q7" s="4"/>
      <c r="R7" s="4"/>
      <c r="S7" s="5"/>
      <c r="T7" s="21"/>
    </row>
    <row r="8" spans="1:20" ht="12.75" customHeight="1" x14ac:dyDescent="0.2">
      <c r="A8" s="67">
        <v>7</v>
      </c>
      <c r="B8" s="2" t="s">
        <v>31</v>
      </c>
      <c r="C8" s="68" t="s">
        <v>55</v>
      </c>
      <c r="D8" s="82">
        <v>7</v>
      </c>
      <c r="E8" s="25" t="s">
        <v>181</v>
      </c>
      <c r="F8" s="25" t="s">
        <v>261</v>
      </c>
      <c r="G8" s="40" t="s">
        <v>182</v>
      </c>
      <c r="H8" s="26" t="s">
        <v>171</v>
      </c>
      <c r="I8" s="20" t="s">
        <v>216</v>
      </c>
      <c r="J8" s="69"/>
      <c r="K8" s="16">
        <v>10400</v>
      </c>
      <c r="L8" s="41">
        <f t="shared" si="0"/>
        <v>10.4</v>
      </c>
      <c r="M8" s="19">
        <v>1</v>
      </c>
      <c r="N8" s="22">
        <f t="shared" si="1"/>
        <v>10.4</v>
      </c>
      <c r="O8" s="3">
        <f t="shared" si="2"/>
        <v>2.7544070512820511</v>
      </c>
      <c r="P8" s="20"/>
      <c r="Q8" s="4"/>
      <c r="R8" s="4"/>
      <c r="S8" s="5"/>
      <c r="T8" s="21"/>
    </row>
    <row r="9" spans="1:20" ht="12.75" customHeight="1" x14ac:dyDescent="0.2">
      <c r="A9" s="67">
        <v>8</v>
      </c>
      <c r="B9" s="2" t="s">
        <v>31</v>
      </c>
      <c r="C9" s="68" t="s">
        <v>57</v>
      </c>
      <c r="D9" s="82">
        <v>8</v>
      </c>
      <c r="E9" s="25" t="s">
        <v>183</v>
      </c>
      <c r="F9" s="25" t="s">
        <v>261</v>
      </c>
      <c r="G9" s="40" t="s">
        <v>184</v>
      </c>
      <c r="H9" s="26" t="s">
        <v>171</v>
      </c>
      <c r="I9" s="20" t="s">
        <v>216</v>
      </c>
      <c r="J9" s="69"/>
      <c r="K9" s="16">
        <v>10600</v>
      </c>
      <c r="L9" s="41">
        <f t="shared" si="0"/>
        <v>10.6</v>
      </c>
      <c r="M9" s="19">
        <v>1</v>
      </c>
      <c r="N9" s="22">
        <f t="shared" si="1"/>
        <v>10.6</v>
      </c>
      <c r="O9" s="3">
        <f t="shared" si="2"/>
        <v>2.7024371069182394</v>
      </c>
      <c r="P9" s="20"/>
      <c r="Q9" s="4"/>
      <c r="R9" s="4"/>
      <c r="S9" s="5"/>
      <c r="T9" s="21"/>
    </row>
    <row r="10" spans="1:20" ht="12.75" customHeight="1" x14ac:dyDescent="0.2">
      <c r="A10" s="67">
        <v>9</v>
      </c>
      <c r="B10" s="2" t="s">
        <v>31</v>
      </c>
      <c r="C10" s="68" t="s">
        <v>59</v>
      </c>
      <c r="D10" s="82">
        <v>9</v>
      </c>
      <c r="E10" s="25" t="s">
        <v>185</v>
      </c>
      <c r="F10" s="25" t="s">
        <v>261</v>
      </c>
      <c r="G10" s="40" t="s">
        <v>186</v>
      </c>
      <c r="H10" s="26" t="s">
        <v>171</v>
      </c>
      <c r="I10" s="20" t="s">
        <v>216</v>
      </c>
      <c r="J10" s="69"/>
      <c r="K10" s="16">
        <v>8910</v>
      </c>
      <c r="L10" s="41">
        <f t="shared" si="0"/>
        <v>8.91</v>
      </c>
      <c r="M10" s="19">
        <v>1</v>
      </c>
      <c r="N10" s="22">
        <f t="shared" si="1"/>
        <v>8.91</v>
      </c>
      <c r="O10" s="3">
        <f t="shared" si="2"/>
        <v>3.2150205761316872</v>
      </c>
      <c r="P10" s="20"/>
      <c r="Q10" s="4"/>
      <c r="R10" s="4"/>
      <c r="S10" s="5"/>
      <c r="T10" s="21"/>
    </row>
    <row r="11" spans="1:20" ht="12.75" customHeight="1" x14ac:dyDescent="0.2">
      <c r="A11" s="67">
        <v>10</v>
      </c>
      <c r="B11" s="2" t="s">
        <v>31</v>
      </c>
      <c r="C11" s="68" t="s">
        <v>61</v>
      </c>
      <c r="D11" s="82">
        <v>10</v>
      </c>
      <c r="E11" s="25" t="s">
        <v>187</v>
      </c>
      <c r="F11" s="25" t="s">
        <v>261</v>
      </c>
      <c r="G11" s="40" t="s">
        <v>188</v>
      </c>
      <c r="H11" s="26" t="s">
        <v>171</v>
      </c>
      <c r="I11" s="20" t="s">
        <v>216</v>
      </c>
      <c r="J11" s="69"/>
      <c r="K11" s="16">
        <v>11500</v>
      </c>
      <c r="L11" s="41">
        <f t="shared" si="0"/>
        <v>11.5</v>
      </c>
      <c r="M11" s="19">
        <v>1</v>
      </c>
      <c r="N11" s="22">
        <f t="shared" si="1"/>
        <v>11.5</v>
      </c>
      <c r="O11" s="3">
        <f t="shared" si="2"/>
        <v>2.4909420289855073</v>
      </c>
      <c r="P11" s="20"/>
      <c r="Q11" s="4"/>
      <c r="R11" s="4"/>
      <c r="S11" s="5"/>
      <c r="T11" s="21"/>
    </row>
    <row r="12" spans="1:20" ht="12.75" customHeight="1" x14ac:dyDescent="0.2">
      <c r="A12" s="67">
        <v>11</v>
      </c>
      <c r="B12" s="2" t="s">
        <v>31</v>
      </c>
      <c r="C12" s="68" t="s">
        <v>63</v>
      </c>
      <c r="D12" s="82">
        <v>11</v>
      </c>
      <c r="E12" s="25" t="s">
        <v>189</v>
      </c>
      <c r="F12" s="25" t="s">
        <v>261</v>
      </c>
      <c r="G12" s="40" t="s">
        <v>11</v>
      </c>
      <c r="H12" s="26" t="s">
        <v>171</v>
      </c>
      <c r="I12" s="20" t="s">
        <v>216</v>
      </c>
      <c r="J12" s="69"/>
      <c r="K12" s="16">
        <v>11100</v>
      </c>
      <c r="L12" s="41">
        <f t="shared" si="0"/>
        <v>11.1</v>
      </c>
      <c r="M12" s="19">
        <v>1</v>
      </c>
      <c r="N12" s="22">
        <f t="shared" si="1"/>
        <v>11.1</v>
      </c>
      <c r="O12" s="3">
        <f t="shared" si="2"/>
        <v>2.5807057057057059</v>
      </c>
      <c r="P12" s="20"/>
      <c r="Q12" s="4"/>
      <c r="R12" s="4"/>
      <c r="S12" s="5"/>
      <c r="T12" s="21"/>
    </row>
    <row r="13" spans="1:20" ht="12.75" customHeight="1" x14ac:dyDescent="0.2">
      <c r="A13" s="67">
        <v>12</v>
      </c>
      <c r="B13" s="2" t="s">
        <v>31</v>
      </c>
      <c r="C13" s="68" t="s">
        <v>65</v>
      </c>
      <c r="D13" s="82">
        <v>12</v>
      </c>
      <c r="E13" s="25" t="s">
        <v>190</v>
      </c>
      <c r="F13" s="25" t="s">
        <v>261</v>
      </c>
      <c r="G13" s="40" t="s">
        <v>191</v>
      </c>
      <c r="H13" s="26" t="s">
        <v>171</v>
      </c>
      <c r="I13" s="20" t="s">
        <v>216</v>
      </c>
      <c r="J13" s="69"/>
      <c r="K13" s="16">
        <v>10500</v>
      </c>
      <c r="L13" s="41">
        <f t="shared" si="0"/>
        <v>10.5</v>
      </c>
      <c r="M13" s="19">
        <v>1</v>
      </c>
      <c r="N13" s="22">
        <f t="shared" si="1"/>
        <v>10.5</v>
      </c>
      <c r="O13" s="3">
        <f t="shared" si="2"/>
        <v>2.7281746031746033</v>
      </c>
      <c r="P13" s="20"/>
      <c r="Q13" s="4"/>
      <c r="R13" s="4"/>
      <c r="S13" s="5"/>
      <c r="T13" s="21"/>
    </row>
    <row r="14" spans="1:20" ht="12.75" customHeight="1" x14ac:dyDescent="0.2">
      <c r="A14" s="67">
        <v>13</v>
      </c>
      <c r="B14" s="2" t="s">
        <v>31</v>
      </c>
      <c r="C14" s="68" t="s">
        <v>67</v>
      </c>
      <c r="D14" s="82">
        <v>13</v>
      </c>
      <c r="E14" s="25" t="s">
        <v>192</v>
      </c>
      <c r="F14" s="25" t="s">
        <v>261</v>
      </c>
      <c r="G14" s="40" t="s">
        <v>193</v>
      </c>
      <c r="H14" s="26" t="s">
        <v>171</v>
      </c>
      <c r="I14" s="20" t="s">
        <v>216</v>
      </c>
      <c r="J14" s="69"/>
      <c r="K14" s="16">
        <v>10900</v>
      </c>
      <c r="L14" s="41">
        <f t="shared" si="0"/>
        <v>10.9</v>
      </c>
      <c r="M14" s="19">
        <v>1</v>
      </c>
      <c r="N14" s="22">
        <f t="shared" si="1"/>
        <v>10.9</v>
      </c>
      <c r="O14" s="3">
        <f t="shared" si="2"/>
        <v>2.6280581039755351</v>
      </c>
      <c r="P14" s="20"/>
      <c r="Q14" s="4"/>
      <c r="R14" s="4"/>
      <c r="S14" s="5"/>
      <c r="T14" s="21"/>
    </row>
    <row r="15" spans="1:20" ht="12.75" customHeight="1" x14ac:dyDescent="0.2">
      <c r="A15" s="67">
        <v>14</v>
      </c>
      <c r="B15" s="2" t="s">
        <v>31</v>
      </c>
      <c r="C15" s="68" t="s">
        <v>69</v>
      </c>
      <c r="D15" s="26">
        <v>14</v>
      </c>
      <c r="E15" s="25" t="s">
        <v>194</v>
      </c>
      <c r="F15" s="25" t="s">
        <v>261</v>
      </c>
      <c r="G15" s="40" t="s">
        <v>195</v>
      </c>
      <c r="H15" s="26" t="s">
        <v>171</v>
      </c>
      <c r="I15" s="20" t="s">
        <v>216</v>
      </c>
      <c r="J15" s="27"/>
      <c r="K15" s="16">
        <v>15100</v>
      </c>
      <c r="L15" s="41">
        <f t="shared" si="0"/>
        <v>15.1</v>
      </c>
      <c r="M15" s="19">
        <v>1</v>
      </c>
      <c r="N15" s="22">
        <f t="shared" si="1"/>
        <v>15.1</v>
      </c>
      <c r="O15" s="3">
        <f>($R$2*$S$2)/($Q$2*N15)</f>
        <v>1.8970750551876381</v>
      </c>
      <c r="P15" s="20"/>
      <c r="Q15" s="4"/>
      <c r="R15" s="4"/>
      <c r="S15" s="5"/>
      <c r="T15" s="21"/>
    </row>
    <row r="16" spans="1:20" ht="12.75" customHeight="1" x14ac:dyDescent="0.2">
      <c r="A16" s="67">
        <v>15</v>
      </c>
      <c r="B16" s="2" t="s">
        <v>31</v>
      </c>
      <c r="C16" s="68" t="s">
        <v>71</v>
      </c>
      <c r="D16" s="26">
        <v>15</v>
      </c>
      <c r="E16" s="25" t="s">
        <v>196</v>
      </c>
      <c r="F16" s="25" t="s">
        <v>261</v>
      </c>
      <c r="G16" s="40" t="s">
        <v>197</v>
      </c>
      <c r="H16" s="26" t="s">
        <v>171</v>
      </c>
      <c r="I16" s="20" t="s">
        <v>216</v>
      </c>
      <c r="J16" s="27"/>
      <c r="K16" s="16">
        <v>12300</v>
      </c>
      <c r="L16" s="41">
        <f t="shared" si="0"/>
        <v>12.3</v>
      </c>
      <c r="M16" s="19">
        <v>1</v>
      </c>
      <c r="N16" s="22">
        <f t="shared" si="1"/>
        <v>12.3</v>
      </c>
      <c r="O16" s="3">
        <f t="shared" si="2"/>
        <v>2.3289295392953928</v>
      </c>
      <c r="P16" s="20"/>
      <c r="Q16" s="4"/>
      <c r="R16" s="4"/>
      <c r="S16" s="5"/>
      <c r="T16" s="21"/>
    </row>
    <row r="17" spans="1:20" ht="12.75" customHeight="1" x14ac:dyDescent="0.2">
      <c r="A17" s="67">
        <v>16</v>
      </c>
      <c r="B17" s="2" t="s">
        <v>31</v>
      </c>
      <c r="C17" s="68" t="s">
        <v>73</v>
      </c>
      <c r="D17" s="82">
        <v>16</v>
      </c>
      <c r="E17" s="25" t="s">
        <v>198</v>
      </c>
      <c r="F17" s="25" t="s">
        <v>261</v>
      </c>
      <c r="G17" s="40" t="s">
        <v>199</v>
      </c>
      <c r="H17" s="26" t="s">
        <v>171</v>
      </c>
      <c r="I17" s="20" t="s">
        <v>216</v>
      </c>
      <c r="J17" s="27"/>
      <c r="K17" s="16">
        <v>13900</v>
      </c>
      <c r="L17" s="41">
        <f t="shared" si="0"/>
        <v>13.9</v>
      </c>
      <c r="M17" s="19">
        <v>1</v>
      </c>
      <c r="N17" s="22">
        <f t="shared" si="1"/>
        <v>13.9</v>
      </c>
      <c r="O17" s="3">
        <f>($R$2*$S$2)/($Q$2*N17)</f>
        <v>2.0608513189448439</v>
      </c>
      <c r="P17" s="20"/>
      <c r="Q17" s="4"/>
      <c r="R17" s="4"/>
      <c r="S17" s="5"/>
      <c r="T17" s="21"/>
    </row>
    <row r="18" spans="1:20" ht="12.75" customHeight="1" x14ac:dyDescent="0.2">
      <c r="A18" s="67">
        <v>17</v>
      </c>
      <c r="B18" s="2" t="s">
        <v>31</v>
      </c>
      <c r="C18" s="68" t="s">
        <v>75</v>
      </c>
      <c r="D18" s="82">
        <v>17</v>
      </c>
      <c r="E18" s="25" t="s">
        <v>200</v>
      </c>
      <c r="F18" s="25" t="s">
        <v>261</v>
      </c>
      <c r="G18" s="40" t="s">
        <v>201</v>
      </c>
      <c r="H18" s="26" t="s">
        <v>171</v>
      </c>
      <c r="I18" s="20" t="s">
        <v>216</v>
      </c>
      <c r="J18" s="27"/>
      <c r="K18" s="16">
        <v>9630</v>
      </c>
      <c r="L18" s="41">
        <f t="shared" si="0"/>
        <v>9.6300000000000008</v>
      </c>
      <c r="M18" s="19">
        <v>1</v>
      </c>
      <c r="N18" s="22">
        <f t="shared" si="1"/>
        <v>9.6300000000000008</v>
      </c>
      <c r="O18" s="3">
        <f t="shared" si="2"/>
        <v>2.974645205953617</v>
      </c>
      <c r="P18" s="20"/>
      <c r="Q18" s="4"/>
      <c r="R18" s="4"/>
      <c r="S18" s="5"/>
      <c r="T18" s="21"/>
    </row>
    <row r="19" spans="1:20" ht="12.75" customHeight="1" x14ac:dyDescent="0.2">
      <c r="A19" s="67">
        <v>18</v>
      </c>
      <c r="B19" s="2" t="s">
        <v>31</v>
      </c>
      <c r="C19" s="68" t="s">
        <v>77</v>
      </c>
      <c r="D19" s="82">
        <v>18</v>
      </c>
      <c r="E19" s="25" t="s">
        <v>202</v>
      </c>
      <c r="F19" s="25" t="s">
        <v>261</v>
      </c>
      <c r="G19" s="40" t="s">
        <v>203</v>
      </c>
      <c r="H19" s="26" t="s">
        <v>171</v>
      </c>
      <c r="I19" s="20" t="s">
        <v>216</v>
      </c>
      <c r="J19" s="27"/>
      <c r="K19" s="16">
        <v>10600</v>
      </c>
      <c r="L19" s="41">
        <f t="shared" si="0"/>
        <v>10.6</v>
      </c>
      <c r="M19" s="19">
        <v>1</v>
      </c>
      <c r="N19" s="22">
        <f t="shared" si="1"/>
        <v>10.6</v>
      </c>
      <c r="O19" s="3">
        <f t="shared" si="2"/>
        <v>2.7024371069182394</v>
      </c>
      <c r="P19" s="20"/>
      <c r="Q19" s="4"/>
      <c r="R19" s="4"/>
      <c r="S19" s="5"/>
      <c r="T19" s="21"/>
    </row>
    <row r="20" spans="1:20" ht="12.75" customHeight="1" x14ac:dyDescent="0.2">
      <c r="A20" s="67">
        <v>19</v>
      </c>
      <c r="B20" s="2" t="s">
        <v>31</v>
      </c>
      <c r="C20" s="68" t="s">
        <v>79</v>
      </c>
      <c r="D20" s="82">
        <v>19</v>
      </c>
      <c r="E20" s="25" t="s">
        <v>204</v>
      </c>
      <c r="F20" s="25" t="s">
        <v>261</v>
      </c>
      <c r="G20" s="40" t="s">
        <v>205</v>
      </c>
      <c r="H20" s="26" t="s">
        <v>171</v>
      </c>
      <c r="I20" s="20" t="s">
        <v>216</v>
      </c>
      <c r="J20" s="27"/>
      <c r="K20" s="16">
        <v>11200</v>
      </c>
      <c r="L20" s="41">
        <f t="shared" si="0"/>
        <v>11.2</v>
      </c>
      <c r="M20" s="19">
        <v>1</v>
      </c>
      <c r="N20" s="22">
        <f t="shared" si="1"/>
        <v>11.2</v>
      </c>
      <c r="O20" s="3">
        <f t="shared" si="2"/>
        <v>2.5576636904761907</v>
      </c>
      <c r="P20" s="20"/>
      <c r="Q20" s="4"/>
      <c r="R20" s="4"/>
      <c r="S20" s="5"/>
      <c r="T20" s="21"/>
    </row>
    <row r="21" spans="1:20" ht="12.75" customHeight="1" x14ac:dyDescent="0.2">
      <c r="A21" s="67">
        <v>20</v>
      </c>
      <c r="B21" s="2" t="s">
        <v>31</v>
      </c>
      <c r="C21" s="68" t="s">
        <v>81</v>
      </c>
      <c r="D21" s="82">
        <v>20</v>
      </c>
      <c r="E21" s="25" t="s">
        <v>206</v>
      </c>
      <c r="F21" s="25" t="s">
        <v>261</v>
      </c>
      <c r="G21" s="40" t="s">
        <v>207</v>
      </c>
      <c r="H21" s="26" t="s">
        <v>171</v>
      </c>
      <c r="I21" s="20" t="s">
        <v>216</v>
      </c>
      <c r="J21" s="27"/>
      <c r="K21" s="16">
        <v>12400</v>
      </c>
      <c r="L21" s="41">
        <f t="shared" si="0"/>
        <v>12.4</v>
      </c>
      <c r="M21" s="19">
        <v>1</v>
      </c>
      <c r="N21" s="22">
        <f t="shared" si="1"/>
        <v>12.4</v>
      </c>
      <c r="O21" s="3">
        <f t="shared" si="2"/>
        <v>2.3101478494623655</v>
      </c>
      <c r="P21" s="20"/>
      <c r="Q21" s="4"/>
      <c r="R21" s="4"/>
      <c r="S21" s="5"/>
      <c r="T21" s="21"/>
    </row>
    <row r="22" spans="1:20" ht="12.75" customHeight="1" x14ac:dyDescent="0.2">
      <c r="A22" s="67">
        <v>21</v>
      </c>
      <c r="B22" s="2" t="s">
        <v>31</v>
      </c>
      <c r="C22" s="68" t="s">
        <v>83</v>
      </c>
      <c r="D22" s="82">
        <v>21</v>
      </c>
      <c r="E22" s="25" t="s">
        <v>208</v>
      </c>
      <c r="F22" s="25" t="s">
        <v>261</v>
      </c>
      <c r="G22" s="40" t="s">
        <v>209</v>
      </c>
      <c r="H22" s="26" t="s">
        <v>171</v>
      </c>
      <c r="I22" s="20" t="s">
        <v>216</v>
      </c>
      <c r="J22" s="27"/>
      <c r="K22" s="16">
        <v>5550</v>
      </c>
      <c r="L22" s="41">
        <f t="shared" si="0"/>
        <v>5.55</v>
      </c>
      <c r="M22" s="19">
        <v>1</v>
      </c>
      <c r="N22" s="22">
        <f t="shared" si="1"/>
        <v>5.55</v>
      </c>
      <c r="O22" s="3">
        <f t="shared" si="2"/>
        <v>5.1614114114114118</v>
      </c>
      <c r="P22" s="20"/>
      <c r="Q22" s="4"/>
      <c r="R22" s="4"/>
      <c r="S22" s="5"/>
      <c r="T22" s="21"/>
    </row>
    <row r="23" spans="1:20" ht="12.75" customHeight="1" x14ac:dyDescent="0.2">
      <c r="A23" s="67">
        <v>22</v>
      </c>
      <c r="B23" s="2" t="s">
        <v>31</v>
      </c>
      <c r="C23" s="68" t="s">
        <v>85</v>
      </c>
      <c r="D23" s="82">
        <v>22</v>
      </c>
      <c r="E23" s="25" t="s">
        <v>210</v>
      </c>
      <c r="F23" s="25" t="s">
        <v>261</v>
      </c>
      <c r="G23" s="40" t="s">
        <v>211</v>
      </c>
      <c r="H23" s="26" t="s">
        <v>171</v>
      </c>
      <c r="I23" s="20" t="s">
        <v>216</v>
      </c>
      <c r="J23" s="27"/>
      <c r="K23" s="16">
        <v>10900</v>
      </c>
      <c r="L23" s="41">
        <f t="shared" si="0"/>
        <v>10.9</v>
      </c>
      <c r="M23" s="19">
        <v>1</v>
      </c>
      <c r="N23" s="22">
        <f t="shared" si="1"/>
        <v>10.9</v>
      </c>
      <c r="O23" s="3">
        <f t="shared" si="2"/>
        <v>2.6280581039755351</v>
      </c>
      <c r="P23" s="20"/>
      <c r="Q23" s="4"/>
      <c r="R23" s="4"/>
      <c r="S23" s="5"/>
      <c r="T23" s="21"/>
    </row>
    <row r="24" spans="1:20" ht="12.75" customHeight="1" x14ac:dyDescent="0.2">
      <c r="A24" s="67">
        <v>23</v>
      </c>
      <c r="B24" s="2" t="s">
        <v>31</v>
      </c>
      <c r="C24" s="68" t="s">
        <v>87</v>
      </c>
      <c r="D24" s="82">
        <v>23</v>
      </c>
      <c r="E24" s="25" t="s">
        <v>212</v>
      </c>
      <c r="F24" s="25" t="s">
        <v>261</v>
      </c>
      <c r="G24" s="40" t="s">
        <v>213</v>
      </c>
      <c r="H24" s="26" t="s">
        <v>171</v>
      </c>
      <c r="I24" s="20" t="s">
        <v>216</v>
      </c>
      <c r="J24" s="27"/>
      <c r="K24" s="16">
        <v>11900</v>
      </c>
      <c r="L24" s="41">
        <f t="shared" si="0"/>
        <v>11.9</v>
      </c>
      <c r="M24" s="19">
        <v>1</v>
      </c>
      <c r="N24" s="22">
        <f t="shared" si="1"/>
        <v>11.9</v>
      </c>
      <c r="O24" s="3">
        <f t="shared" si="2"/>
        <v>2.4072128851540615</v>
      </c>
      <c r="P24" s="20"/>
      <c r="Q24" s="4"/>
      <c r="R24" s="4"/>
      <c r="S24" s="5"/>
      <c r="T24" s="21"/>
    </row>
    <row r="25" spans="1:20" ht="12.75" customHeight="1" x14ac:dyDescent="0.2">
      <c r="A25" s="67">
        <v>24</v>
      </c>
      <c r="B25" s="2" t="s">
        <v>31</v>
      </c>
      <c r="C25" s="68" t="s">
        <v>89</v>
      </c>
      <c r="D25" s="82">
        <v>24</v>
      </c>
      <c r="E25" s="25" t="s">
        <v>214</v>
      </c>
      <c r="F25" s="25" t="s">
        <v>261</v>
      </c>
      <c r="G25" s="40" t="s">
        <v>215</v>
      </c>
      <c r="H25" s="26" t="s">
        <v>171</v>
      </c>
      <c r="I25" s="20" t="s">
        <v>216</v>
      </c>
      <c r="J25" s="27"/>
      <c r="K25" s="16">
        <v>9780</v>
      </c>
      <c r="L25" s="41">
        <f>K25/1000</f>
        <v>9.7799999999999994</v>
      </c>
      <c r="M25" s="19">
        <v>1</v>
      </c>
      <c r="N25" s="22">
        <f t="shared" si="1"/>
        <v>9.7799999999999994</v>
      </c>
      <c r="O25" s="3">
        <f>($R$2*$S$2)/($Q$2*N25)</f>
        <v>2.9290218132242676</v>
      </c>
      <c r="P25" s="20"/>
      <c r="Q25" s="4"/>
      <c r="R25" s="4"/>
      <c r="S25" s="5"/>
      <c r="T25" s="21"/>
    </row>
    <row r="26" spans="1:20" ht="12.75" customHeight="1" x14ac:dyDescent="0.2">
      <c r="A26" s="1"/>
      <c r="B26" s="2"/>
      <c r="C26" s="68"/>
      <c r="D26" s="25"/>
      <c r="E26" s="25"/>
      <c r="F26" s="25"/>
      <c r="G26" s="25"/>
      <c r="H26" s="26"/>
      <c r="I26" s="20"/>
      <c r="J26" s="27"/>
      <c r="K26" s="16"/>
      <c r="L26" s="41"/>
      <c r="M26" s="19"/>
      <c r="N26" s="23"/>
      <c r="O26" s="20"/>
      <c r="P26" s="20"/>
      <c r="Q26" s="4"/>
      <c r="R26" s="4"/>
      <c r="S26" s="5"/>
      <c r="T26" s="20"/>
    </row>
    <row r="27" spans="1:20" ht="12.75" customHeight="1" x14ac:dyDescent="0.2">
      <c r="A27" s="67">
        <v>1</v>
      </c>
      <c r="B27" s="2" t="s">
        <v>32</v>
      </c>
      <c r="C27" s="68" t="s">
        <v>91</v>
      </c>
      <c r="D27" s="26">
        <v>25</v>
      </c>
      <c r="E27" s="25" t="s">
        <v>217</v>
      </c>
      <c r="F27" s="25" t="s">
        <v>261</v>
      </c>
      <c r="G27" s="40" t="s">
        <v>170</v>
      </c>
      <c r="H27" s="26" t="s">
        <v>171</v>
      </c>
      <c r="I27" s="20" t="s">
        <v>216</v>
      </c>
      <c r="J27" s="27"/>
      <c r="K27" s="64">
        <v>10000</v>
      </c>
      <c r="L27" s="41">
        <f>K27/1000</f>
        <v>10</v>
      </c>
      <c r="M27" s="19">
        <v>1</v>
      </c>
      <c r="N27" s="22">
        <f>L27/M27</f>
        <v>10</v>
      </c>
      <c r="O27" s="3">
        <f>($R$27*$S$27)/($Q$27*N27)</f>
        <v>2.3958333333333335</v>
      </c>
      <c r="P27" s="20"/>
      <c r="Q27" s="4">
        <v>24</v>
      </c>
      <c r="R27" s="4">
        <v>230</v>
      </c>
      <c r="S27" s="5">
        <v>2.5</v>
      </c>
      <c r="T27" s="21">
        <f>R27-(SUM(O27:O50))</f>
        <v>173.96393325810223</v>
      </c>
    </row>
    <row r="28" spans="1:20" ht="12.75" customHeight="1" x14ac:dyDescent="0.2">
      <c r="A28" s="67">
        <v>2</v>
      </c>
      <c r="B28" s="2" t="s">
        <v>32</v>
      </c>
      <c r="C28" s="68" t="s">
        <v>93</v>
      </c>
      <c r="D28" s="26">
        <v>26</v>
      </c>
      <c r="E28" s="25" t="s">
        <v>218</v>
      </c>
      <c r="F28" s="25" t="s">
        <v>261</v>
      </c>
      <c r="G28" s="40" t="s">
        <v>173</v>
      </c>
      <c r="H28" s="26" t="s">
        <v>171</v>
      </c>
      <c r="I28" s="20" t="s">
        <v>216</v>
      </c>
      <c r="J28" s="27"/>
      <c r="K28" s="16">
        <v>11500</v>
      </c>
      <c r="L28" s="41">
        <f t="shared" ref="L28:L50" si="3">K28/1000</f>
        <v>11.5</v>
      </c>
      <c r="M28" s="19">
        <v>1</v>
      </c>
      <c r="N28" s="22">
        <f t="shared" ref="N28:N50" si="4">L28/M28</f>
        <v>11.5</v>
      </c>
      <c r="O28" s="3">
        <f t="shared" ref="O28:O49" si="5">($R$27*$S$27)/($Q$27*N28)</f>
        <v>2.0833333333333335</v>
      </c>
      <c r="P28" s="20"/>
      <c r="Q28" s="4"/>
      <c r="R28" s="4"/>
      <c r="S28" s="5"/>
      <c r="T28" s="21"/>
    </row>
    <row r="29" spans="1:20" ht="12.75" customHeight="1" x14ac:dyDescent="0.2">
      <c r="A29" s="67">
        <v>3</v>
      </c>
      <c r="B29" s="2" t="s">
        <v>32</v>
      </c>
      <c r="C29" s="68" t="s">
        <v>95</v>
      </c>
      <c r="D29" s="82">
        <v>27</v>
      </c>
      <c r="E29" s="25" t="s">
        <v>219</v>
      </c>
      <c r="F29" s="25" t="s">
        <v>261</v>
      </c>
      <c r="G29" s="40" t="s">
        <v>175</v>
      </c>
      <c r="H29" s="26" t="s">
        <v>171</v>
      </c>
      <c r="I29" s="20" t="s">
        <v>216</v>
      </c>
      <c r="J29" s="27"/>
      <c r="K29" s="16">
        <v>10500</v>
      </c>
      <c r="L29" s="41">
        <f t="shared" si="3"/>
        <v>10.5</v>
      </c>
      <c r="M29" s="19">
        <v>1</v>
      </c>
      <c r="N29" s="22">
        <f t="shared" si="4"/>
        <v>10.5</v>
      </c>
      <c r="O29" s="3">
        <f t="shared" si="5"/>
        <v>2.2817460317460316</v>
      </c>
      <c r="P29" s="20"/>
      <c r="Q29" s="4"/>
      <c r="R29" s="4"/>
      <c r="S29" s="5"/>
      <c r="T29" s="21"/>
    </row>
    <row r="30" spans="1:20" ht="12.75" customHeight="1" x14ac:dyDescent="0.2">
      <c r="A30" s="67">
        <v>4</v>
      </c>
      <c r="B30" s="2" t="s">
        <v>32</v>
      </c>
      <c r="C30" s="68" t="s">
        <v>97</v>
      </c>
      <c r="D30" s="82">
        <v>28</v>
      </c>
      <c r="E30" s="25" t="s">
        <v>220</v>
      </c>
      <c r="F30" s="25" t="s">
        <v>261</v>
      </c>
      <c r="G30" s="40" t="s">
        <v>177</v>
      </c>
      <c r="H30" s="26" t="s">
        <v>171</v>
      </c>
      <c r="I30" s="20" t="s">
        <v>216</v>
      </c>
      <c r="J30" s="27"/>
      <c r="K30" s="16">
        <v>11300</v>
      </c>
      <c r="L30" s="41">
        <f t="shared" si="3"/>
        <v>11.3</v>
      </c>
      <c r="M30" s="19">
        <v>1</v>
      </c>
      <c r="N30" s="22">
        <f t="shared" si="4"/>
        <v>11.3</v>
      </c>
      <c r="O30" s="3">
        <f t="shared" si="5"/>
        <v>2.1202064896755157</v>
      </c>
      <c r="P30" s="20"/>
      <c r="Q30" s="4"/>
      <c r="R30" s="4"/>
      <c r="S30" s="5"/>
      <c r="T30" s="21"/>
    </row>
    <row r="31" spans="1:20" ht="12.75" customHeight="1" x14ac:dyDescent="0.2">
      <c r="A31" s="67">
        <v>5</v>
      </c>
      <c r="B31" s="2" t="s">
        <v>32</v>
      </c>
      <c r="C31" s="68" t="s">
        <v>99</v>
      </c>
      <c r="D31" s="82">
        <v>29</v>
      </c>
      <c r="E31" s="25" t="s">
        <v>221</v>
      </c>
      <c r="F31" s="25" t="s">
        <v>261</v>
      </c>
      <c r="G31" s="40" t="s">
        <v>179</v>
      </c>
      <c r="H31" s="26" t="s">
        <v>171</v>
      </c>
      <c r="I31" s="20" t="s">
        <v>216</v>
      </c>
      <c r="J31" s="27"/>
      <c r="K31" s="16">
        <v>10900</v>
      </c>
      <c r="L31" s="41">
        <f t="shared" si="3"/>
        <v>10.9</v>
      </c>
      <c r="M31" s="19">
        <v>1</v>
      </c>
      <c r="N31" s="22">
        <f t="shared" si="4"/>
        <v>10.9</v>
      </c>
      <c r="O31" s="3">
        <f t="shared" si="5"/>
        <v>2.1980122324159019</v>
      </c>
      <c r="P31" s="20"/>
      <c r="Q31" s="4"/>
      <c r="R31" s="4"/>
      <c r="S31" s="5"/>
      <c r="T31" s="21"/>
    </row>
    <row r="32" spans="1:20" ht="12.75" customHeight="1" x14ac:dyDescent="0.2">
      <c r="A32" s="67">
        <v>6</v>
      </c>
      <c r="B32" s="2" t="s">
        <v>32</v>
      </c>
      <c r="C32" s="68" t="s">
        <v>101</v>
      </c>
      <c r="D32" s="82">
        <v>30</v>
      </c>
      <c r="E32" s="25" t="s">
        <v>222</v>
      </c>
      <c r="F32" s="25" t="s">
        <v>261</v>
      </c>
      <c r="G32" s="40" t="s">
        <v>10</v>
      </c>
      <c r="H32" s="26" t="s">
        <v>171</v>
      </c>
      <c r="I32" s="20" t="s">
        <v>216</v>
      </c>
      <c r="J32" s="27"/>
      <c r="K32" s="16">
        <v>10500</v>
      </c>
      <c r="L32" s="41">
        <f t="shared" si="3"/>
        <v>10.5</v>
      </c>
      <c r="M32" s="19">
        <v>1</v>
      </c>
      <c r="N32" s="22">
        <f t="shared" si="4"/>
        <v>10.5</v>
      </c>
      <c r="O32" s="3">
        <f t="shared" si="5"/>
        <v>2.2817460317460316</v>
      </c>
      <c r="P32" s="20"/>
      <c r="Q32" s="4"/>
      <c r="R32" s="4"/>
      <c r="S32" s="5"/>
      <c r="T32" s="21"/>
    </row>
    <row r="33" spans="1:20" ht="12.75" customHeight="1" x14ac:dyDescent="0.2">
      <c r="A33" s="67">
        <v>7</v>
      </c>
      <c r="B33" s="2" t="s">
        <v>32</v>
      </c>
      <c r="C33" s="68" t="s">
        <v>103</v>
      </c>
      <c r="D33" s="82">
        <v>31</v>
      </c>
      <c r="E33" s="25" t="s">
        <v>223</v>
      </c>
      <c r="F33" s="25" t="s">
        <v>261</v>
      </c>
      <c r="G33" s="40" t="s">
        <v>182</v>
      </c>
      <c r="H33" s="26" t="s">
        <v>171</v>
      </c>
      <c r="I33" s="20" t="s">
        <v>216</v>
      </c>
      <c r="J33" s="27"/>
      <c r="K33" s="16">
        <v>9660</v>
      </c>
      <c r="L33" s="41">
        <f t="shared" si="3"/>
        <v>9.66</v>
      </c>
      <c r="M33" s="19">
        <v>1</v>
      </c>
      <c r="N33" s="22">
        <f t="shared" si="4"/>
        <v>9.66</v>
      </c>
      <c r="O33" s="3">
        <f t="shared" si="5"/>
        <v>2.4801587301587302</v>
      </c>
      <c r="P33" s="20"/>
      <c r="Q33" s="4"/>
      <c r="R33" s="4"/>
      <c r="S33" s="5"/>
      <c r="T33" s="21"/>
    </row>
    <row r="34" spans="1:20" ht="12.75" customHeight="1" x14ac:dyDescent="0.2">
      <c r="A34" s="67">
        <v>8</v>
      </c>
      <c r="B34" s="2" t="s">
        <v>32</v>
      </c>
      <c r="C34" s="68" t="s">
        <v>105</v>
      </c>
      <c r="D34" s="82">
        <v>32</v>
      </c>
      <c r="E34" s="25" t="s">
        <v>224</v>
      </c>
      <c r="F34" s="25" t="s">
        <v>261</v>
      </c>
      <c r="G34" s="40" t="s">
        <v>184</v>
      </c>
      <c r="H34" s="26" t="s">
        <v>171</v>
      </c>
      <c r="I34" s="20" t="s">
        <v>216</v>
      </c>
      <c r="J34" s="27"/>
      <c r="K34" s="16">
        <v>8910</v>
      </c>
      <c r="L34" s="41">
        <f t="shared" si="3"/>
        <v>8.91</v>
      </c>
      <c r="M34" s="19">
        <v>1</v>
      </c>
      <c r="N34" s="22">
        <f t="shared" si="4"/>
        <v>8.91</v>
      </c>
      <c r="O34" s="3">
        <f t="shared" si="5"/>
        <v>2.6889263000374113</v>
      </c>
      <c r="P34" s="20"/>
      <c r="Q34" s="4"/>
      <c r="R34" s="4"/>
      <c r="S34" s="5"/>
      <c r="T34" s="21"/>
    </row>
    <row r="35" spans="1:20" ht="12.75" customHeight="1" x14ac:dyDescent="0.2">
      <c r="A35" s="67">
        <v>9</v>
      </c>
      <c r="B35" s="2" t="s">
        <v>32</v>
      </c>
      <c r="C35" s="68" t="s">
        <v>107</v>
      </c>
      <c r="D35" s="82">
        <v>33</v>
      </c>
      <c r="E35" s="25" t="s">
        <v>225</v>
      </c>
      <c r="F35" s="25" t="s">
        <v>261</v>
      </c>
      <c r="G35" s="40" t="s">
        <v>186</v>
      </c>
      <c r="H35" s="26" t="s">
        <v>171</v>
      </c>
      <c r="I35" s="20" t="s">
        <v>216</v>
      </c>
      <c r="J35" s="27"/>
      <c r="K35" s="16">
        <v>9140</v>
      </c>
      <c r="L35" s="41">
        <f t="shared" si="3"/>
        <v>9.14</v>
      </c>
      <c r="M35" s="19">
        <v>1</v>
      </c>
      <c r="N35" s="22">
        <f t="shared" si="4"/>
        <v>9.14</v>
      </c>
      <c r="O35" s="3">
        <f t="shared" si="5"/>
        <v>2.6212618526622902</v>
      </c>
      <c r="P35" s="20"/>
      <c r="Q35" s="4"/>
      <c r="R35" s="4"/>
      <c r="S35" s="5"/>
      <c r="T35" s="21"/>
    </row>
    <row r="36" spans="1:20" ht="12.75" customHeight="1" x14ac:dyDescent="0.2">
      <c r="A36" s="67">
        <v>10</v>
      </c>
      <c r="B36" s="2" t="s">
        <v>32</v>
      </c>
      <c r="C36" s="68" t="s">
        <v>109</v>
      </c>
      <c r="D36" s="82">
        <v>34</v>
      </c>
      <c r="E36" s="25" t="s">
        <v>226</v>
      </c>
      <c r="F36" s="25" t="s">
        <v>261</v>
      </c>
      <c r="G36" s="40" t="s">
        <v>188</v>
      </c>
      <c r="H36" s="26" t="s">
        <v>171</v>
      </c>
      <c r="I36" s="20" t="s">
        <v>216</v>
      </c>
      <c r="J36" s="27"/>
      <c r="K36" s="16">
        <v>9940</v>
      </c>
      <c r="L36" s="41">
        <f t="shared" si="3"/>
        <v>9.94</v>
      </c>
      <c r="M36" s="19">
        <v>1</v>
      </c>
      <c r="N36" s="22">
        <f t="shared" si="4"/>
        <v>9.94</v>
      </c>
      <c r="O36" s="3">
        <f t="shared" si="5"/>
        <v>2.4102951039570759</v>
      </c>
      <c r="P36" s="20"/>
      <c r="Q36" s="4"/>
      <c r="R36" s="4"/>
      <c r="S36" s="5"/>
      <c r="T36" s="21"/>
    </row>
    <row r="37" spans="1:20" ht="12.75" customHeight="1" x14ac:dyDescent="0.2">
      <c r="A37" s="67">
        <v>11</v>
      </c>
      <c r="B37" s="2" t="s">
        <v>32</v>
      </c>
      <c r="C37" s="68" t="s">
        <v>111</v>
      </c>
      <c r="D37" s="82">
        <v>35</v>
      </c>
      <c r="E37" s="25" t="s">
        <v>227</v>
      </c>
      <c r="F37" s="25" t="s">
        <v>261</v>
      </c>
      <c r="G37" s="40" t="s">
        <v>11</v>
      </c>
      <c r="H37" s="26" t="s">
        <v>171</v>
      </c>
      <c r="I37" s="20" t="s">
        <v>216</v>
      </c>
      <c r="J37" s="27"/>
      <c r="K37" s="16">
        <v>9460</v>
      </c>
      <c r="L37" s="41">
        <f t="shared" si="3"/>
        <v>9.4600000000000009</v>
      </c>
      <c r="M37" s="19">
        <v>1</v>
      </c>
      <c r="N37" s="22">
        <f t="shared" si="4"/>
        <v>9.4600000000000009</v>
      </c>
      <c r="O37" s="3">
        <f t="shared" si="5"/>
        <v>2.532593375616631</v>
      </c>
      <c r="P37" s="20"/>
      <c r="Q37" s="4"/>
      <c r="R37" s="4"/>
      <c r="S37" s="5"/>
      <c r="T37" s="21"/>
    </row>
    <row r="38" spans="1:20" ht="12.75" customHeight="1" x14ac:dyDescent="0.2">
      <c r="A38" s="67">
        <v>12</v>
      </c>
      <c r="B38" s="2" t="s">
        <v>32</v>
      </c>
      <c r="C38" s="68" t="s">
        <v>113</v>
      </c>
      <c r="D38" s="82">
        <v>36</v>
      </c>
      <c r="E38" s="25" t="s">
        <v>228</v>
      </c>
      <c r="F38" s="25" t="s">
        <v>261</v>
      </c>
      <c r="G38" s="40" t="s">
        <v>191</v>
      </c>
      <c r="H38" s="26" t="s">
        <v>171</v>
      </c>
      <c r="I38" s="20" t="s">
        <v>216</v>
      </c>
      <c r="J38" s="27"/>
      <c r="K38" s="16">
        <v>11300</v>
      </c>
      <c r="L38" s="41">
        <f t="shared" si="3"/>
        <v>11.3</v>
      </c>
      <c r="M38" s="19">
        <v>1</v>
      </c>
      <c r="N38" s="22">
        <f t="shared" si="4"/>
        <v>11.3</v>
      </c>
      <c r="O38" s="3">
        <f t="shared" si="5"/>
        <v>2.1202064896755157</v>
      </c>
      <c r="P38" s="20"/>
      <c r="Q38" s="4"/>
      <c r="R38" s="4"/>
      <c r="S38" s="5"/>
      <c r="T38" s="21"/>
    </row>
    <row r="39" spans="1:20" ht="12.75" customHeight="1" x14ac:dyDescent="0.2">
      <c r="A39" s="67">
        <v>13</v>
      </c>
      <c r="B39" s="2" t="s">
        <v>32</v>
      </c>
      <c r="C39" s="68" t="s">
        <v>115</v>
      </c>
      <c r="D39" s="26">
        <v>37</v>
      </c>
      <c r="E39" s="25" t="s">
        <v>229</v>
      </c>
      <c r="F39" s="25" t="s">
        <v>261</v>
      </c>
      <c r="G39" s="25" t="s">
        <v>193</v>
      </c>
      <c r="H39" s="26" t="s">
        <v>171</v>
      </c>
      <c r="I39" s="20" t="s">
        <v>216</v>
      </c>
      <c r="J39" s="27"/>
      <c r="K39" s="16">
        <v>10400</v>
      </c>
      <c r="L39" s="41">
        <f t="shared" si="3"/>
        <v>10.4</v>
      </c>
      <c r="M39" s="19">
        <v>1</v>
      </c>
      <c r="N39" s="22">
        <f t="shared" si="4"/>
        <v>10.4</v>
      </c>
      <c r="O39" s="3">
        <f t="shared" si="5"/>
        <v>2.3036858974358974</v>
      </c>
      <c r="P39" s="20"/>
      <c r="Q39" s="4"/>
      <c r="R39" s="4"/>
      <c r="S39" s="5"/>
      <c r="T39" s="21"/>
    </row>
    <row r="40" spans="1:20" ht="12.75" customHeight="1" x14ac:dyDescent="0.2">
      <c r="A40" s="67">
        <v>14</v>
      </c>
      <c r="B40" s="2" t="s">
        <v>32</v>
      </c>
      <c r="C40" s="68" t="s">
        <v>117</v>
      </c>
      <c r="D40" s="26">
        <v>38</v>
      </c>
      <c r="E40" s="25" t="s">
        <v>230</v>
      </c>
      <c r="F40" s="25" t="s">
        <v>261</v>
      </c>
      <c r="G40" s="40" t="s">
        <v>195</v>
      </c>
      <c r="H40" s="26" t="s">
        <v>171</v>
      </c>
      <c r="I40" s="20" t="s">
        <v>216</v>
      </c>
      <c r="J40" s="56"/>
      <c r="K40" s="16">
        <v>11000</v>
      </c>
      <c r="L40" s="41">
        <f t="shared" si="3"/>
        <v>11</v>
      </c>
      <c r="M40" s="19">
        <v>1</v>
      </c>
      <c r="N40" s="22">
        <f t="shared" si="4"/>
        <v>11</v>
      </c>
      <c r="O40" s="3">
        <f>($R$27*$S$27)/($Q$27*N40)</f>
        <v>2.1780303030303032</v>
      </c>
      <c r="P40" s="20"/>
      <c r="Q40" s="4"/>
      <c r="R40" s="4"/>
      <c r="S40" s="5"/>
      <c r="T40" s="21"/>
    </row>
    <row r="41" spans="1:20" ht="12.75" customHeight="1" x14ac:dyDescent="0.2">
      <c r="A41" s="67">
        <v>15</v>
      </c>
      <c r="B41" s="2" t="s">
        <v>32</v>
      </c>
      <c r="C41" s="68" t="s">
        <v>119</v>
      </c>
      <c r="D41" s="26">
        <v>39</v>
      </c>
      <c r="E41" s="25" t="s">
        <v>231</v>
      </c>
      <c r="F41" s="25" t="s">
        <v>261</v>
      </c>
      <c r="G41" s="40" t="s">
        <v>197</v>
      </c>
      <c r="H41" s="26" t="s">
        <v>171</v>
      </c>
      <c r="I41" s="20" t="s">
        <v>216</v>
      </c>
      <c r="J41" s="56"/>
      <c r="K41" s="16">
        <v>10600</v>
      </c>
      <c r="L41" s="41">
        <f t="shared" si="3"/>
        <v>10.6</v>
      </c>
      <c r="M41" s="19">
        <v>1</v>
      </c>
      <c r="N41" s="22">
        <f t="shared" si="4"/>
        <v>10.6</v>
      </c>
      <c r="O41" s="3">
        <f t="shared" si="5"/>
        <v>2.2602201257861636</v>
      </c>
      <c r="P41" s="20"/>
      <c r="Q41" s="4"/>
      <c r="R41" s="4"/>
      <c r="S41" s="5"/>
      <c r="T41" s="21"/>
    </row>
    <row r="42" spans="1:20" ht="12.75" customHeight="1" x14ac:dyDescent="0.2">
      <c r="A42" s="67">
        <v>16</v>
      </c>
      <c r="B42" s="2" t="s">
        <v>32</v>
      </c>
      <c r="C42" s="68" t="s">
        <v>121</v>
      </c>
      <c r="D42" s="39">
        <v>40</v>
      </c>
      <c r="E42" s="25" t="s">
        <v>232</v>
      </c>
      <c r="F42" s="25" t="s">
        <v>261</v>
      </c>
      <c r="G42" s="40" t="s">
        <v>199</v>
      </c>
      <c r="H42" s="26" t="s">
        <v>171</v>
      </c>
      <c r="I42" s="20" t="s">
        <v>216</v>
      </c>
      <c r="J42" s="56"/>
      <c r="K42" s="16">
        <v>9450</v>
      </c>
      <c r="L42" s="41">
        <f t="shared" si="3"/>
        <v>9.4499999999999993</v>
      </c>
      <c r="M42" s="19">
        <v>1</v>
      </c>
      <c r="N42" s="22">
        <f t="shared" si="4"/>
        <v>9.4499999999999993</v>
      </c>
      <c r="O42" s="3">
        <f t="shared" si="5"/>
        <v>2.5352733686067022</v>
      </c>
      <c r="P42" s="20"/>
      <c r="Q42" s="4"/>
      <c r="R42" s="4"/>
      <c r="S42" s="5"/>
      <c r="T42" s="21"/>
    </row>
    <row r="43" spans="1:20" ht="12.75" customHeight="1" x14ac:dyDescent="0.2">
      <c r="A43" s="67">
        <v>17</v>
      </c>
      <c r="B43" s="2" t="s">
        <v>32</v>
      </c>
      <c r="C43" s="68" t="s">
        <v>123</v>
      </c>
      <c r="D43" s="39">
        <v>41</v>
      </c>
      <c r="E43" s="25" t="s">
        <v>233</v>
      </c>
      <c r="F43" s="25" t="s">
        <v>261</v>
      </c>
      <c r="G43" s="40" t="s">
        <v>201</v>
      </c>
      <c r="H43" s="26" t="s">
        <v>171</v>
      </c>
      <c r="I43" s="20" t="s">
        <v>216</v>
      </c>
      <c r="J43" s="56"/>
      <c r="K43" s="16">
        <v>9860</v>
      </c>
      <c r="L43" s="41">
        <f t="shared" si="3"/>
        <v>9.86</v>
      </c>
      <c r="M43" s="19">
        <v>1</v>
      </c>
      <c r="N43" s="22">
        <f t="shared" si="4"/>
        <v>9.86</v>
      </c>
      <c r="O43" s="3">
        <f>($R$27*$S$27)/($Q$27*N43)</f>
        <v>2.4298512508451657</v>
      </c>
      <c r="P43" s="20"/>
      <c r="Q43" s="4"/>
      <c r="R43" s="4"/>
      <c r="S43" s="5"/>
      <c r="T43" s="21"/>
    </row>
    <row r="44" spans="1:20" ht="12.75" customHeight="1" x14ac:dyDescent="0.2">
      <c r="A44" s="67">
        <v>18</v>
      </c>
      <c r="B44" s="2" t="s">
        <v>32</v>
      </c>
      <c r="C44" s="68" t="s">
        <v>125</v>
      </c>
      <c r="D44" s="39">
        <v>42</v>
      </c>
      <c r="E44" s="25" t="s">
        <v>234</v>
      </c>
      <c r="F44" s="25" t="s">
        <v>261</v>
      </c>
      <c r="G44" s="40" t="s">
        <v>203</v>
      </c>
      <c r="H44" s="26" t="s">
        <v>171</v>
      </c>
      <c r="I44" s="20" t="s">
        <v>216</v>
      </c>
      <c r="J44" s="56"/>
      <c r="K44" s="16">
        <v>9470</v>
      </c>
      <c r="L44" s="41">
        <f t="shared" si="3"/>
        <v>9.4700000000000006</v>
      </c>
      <c r="M44" s="19">
        <v>1</v>
      </c>
      <c r="N44" s="22">
        <f t="shared" si="4"/>
        <v>9.4700000000000006</v>
      </c>
      <c r="O44" s="3">
        <f t="shared" si="5"/>
        <v>2.5299190425906368</v>
      </c>
      <c r="P44" s="20"/>
      <c r="Q44" s="4"/>
      <c r="R44" s="4"/>
      <c r="S44" s="5"/>
      <c r="T44" s="21"/>
    </row>
    <row r="45" spans="1:20" ht="12.75" customHeight="1" x14ac:dyDescent="0.2">
      <c r="A45" s="67">
        <v>19</v>
      </c>
      <c r="B45" s="2" t="s">
        <v>32</v>
      </c>
      <c r="C45" s="68" t="s">
        <v>127</v>
      </c>
      <c r="D45" s="39">
        <v>43</v>
      </c>
      <c r="E45" s="25" t="s">
        <v>235</v>
      </c>
      <c r="F45" s="25" t="s">
        <v>261</v>
      </c>
      <c r="G45" s="40" t="s">
        <v>205</v>
      </c>
      <c r="H45" s="26" t="s">
        <v>171</v>
      </c>
      <c r="I45" s="20" t="s">
        <v>216</v>
      </c>
      <c r="J45" s="56"/>
      <c r="K45" s="16">
        <v>10300</v>
      </c>
      <c r="L45" s="41">
        <f t="shared" si="3"/>
        <v>10.3</v>
      </c>
      <c r="M45" s="19">
        <v>1</v>
      </c>
      <c r="N45" s="22">
        <f t="shared" si="4"/>
        <v>10.3</v>
      </c>
      <c r="O45" s="3">
        <f t="shared" si="5"/>
        <v>2.3260517799352751</v>
      </c>
      <c r="P45" s="20"/>
      <c r="Q45" s="4"/>
      <c r="R45" s="4"/>
      <c r="S45" s="5"/>
      <c r="T45" s="21"/>
    </row>
    <row r="46" spans="1:20" ht="12.75" customHeight="1" x14ac:dyDescent="0.2">
      <c r="A46" s="67">
        <v>20</v>
      </c>
      <c r="B46" s="2" t="s">
        <v>32</v>
      </c>
      <c r="C46" s="68" t="s">
        <v>129</v>
      </c>
      <c r="D46" s="39">
        <v>44</v>
      </c>
      <c r="E46" s="25" t="s">
        <v>236</v>
      </c>
      <c r="F46" s="25" t="s">
        <v>261</v>
      </c>
      <c r="G46" s="40" t="s">
        <v>207</v>
      </c>
      <c r="H46" s="26" t="s">
        <v>171</v>
      </c>
      <c r="I46" s="20" t="s">
        <v>216</v>
      </c>
      <c r="J46" s="56"/>
      <c r="K46" s="16">
        <v>10100</v>
      </c>
      <c r="L46" s="41">
        <f t="shared" si="3"/>
        <v>10.1</v>
      </c>
      <c r="M46" s="19">
        <v>1</v>
      </c>
      <c r="N46" s="22">
        <f t="shared" si="4"/>
        <v>10.1</v>
      </c>
      <c r="O46" s="3">
        <f t="shared" si="5"/>
        <v>2.3721122112211224</v>
      </c>
      <c r="P46" s="20"/>
      <c r="Q46" s="4"/>
      <c r="R46" s="4"/>
      <c r="S46" s="5"/>
      <c r="T46" s="21"/>
    </row>
    <row r="47" spans="1:20" ht="12.75" customHeight="1" x14ac:dyDescent="0.2">
      <c r="A47" s="67">
        <v>21</v>
      </c>
      <c r="B47" s="2" t="s">
        <v>32</v>
      </c>
      <c r="C47" s="68" t="s">
        <v>131</v>
      </c>
      <c r="D47" s="39">
        <v>45</v>
      </c>
      <c r="E47" s="25" t="s">
        <v>237</v>
      </c>
      <c r="F47" s="25" t="s">
        <v>261</v>
      </c>
      <c r="G47" s="40" t="s">
        <v>209</v>
      </c>
      <c r="H47" s="26" t="s">
        <v>171</v>
      </c>
      <c r="I47" s="20" t="s">
        <v>216</v>
      </c>
      <c r="J47" s="56"/>
      <c r="K47" s="16">
        <v>11900</v>
      </c>
      <c r="L47" s="41">
        <f t="shared" si="3"/>
        <v>11.9</v>
      </c>
      <c r="M47" s="19">
        <v>1</v>
      </c>
      <c r="N47" s="22">
        <f t="shared" si="4"/>
        <v>11.9</v>
      </c>
      <c r="O47" s="3">
        <f t="shared" si="5"/>
        <v>2.0133053221288515</v>
      </c>
      <c r="P47" s="20"/>
      <c r="Q47" s="4"/>
      <c r="R47" s="4"/>
      <c r="S47" s="5"/>
      <c r="T47" s="21"/>
    </row>
    <row r="48" spans="1:20" ht="12.75" customHeight="1" x14ac:dyDescent="0.2">
      <c r="A48" s="67">
        <v>22</v>
      </c>
      <c r="B48" s="2" t="s">
        <v>32</v>
      </c>
      <c r="C48" s="68" t="s">
        <v>133</v>
      </c>
      <c r="D48" s="39">
        <v>46</v>
      </c>
      <c r="E48" s="25" t="s">
        <v>238</v>
      </c>
      <c r="F48" s="25" t="s">
        <v>261</v>
      </c>
      <c r="G48" s="40" t="s">
        <v>211</v>
      </c>
      <c r="H48" s="26" t="s">
        <v>171</v>
      </c>
      <c r="I48" s="20" t="s">
        <v>216</v>
      </c>
      <c r="J48" s="56"/>
      <c r="K48" s="16">
        <v>9460</v>
      </c>
      <c r="L48" s="41">
        <f t="shared" si="3"/>
        <v>9.4600000000000009</v>
      </c>
      <c r="M48" s="19">
        <v>1</v>
      </c>
      <c r="N48" s="22">
        <f t="shared" si="4"/>
        <v>9.4600000000000009</v>
      </c>
      <c r="O48" s="3">
        <f t="shared" si="5"/>
        <v>2.532593375616631</v>
      </c>
      <c r="P48" s="20"/>
      <c r="Q48" s="4"/>
      <c r="R48" s="4"/>
      <c r="S48" s="5"/>
      <c r="T48" s="21"/>
    </row>
    <row r="49" spans="1:20" ht="12.75" customHeight="1" x14ac:dyDescent="0.2">
      <c r="A49" s="67">
        <v>23</v>
      </c>
      <c r="B49" s="2" t="s">
        <v>32</v>
      </c>
      <c r="C49" s="68" t="s">
        <v>135</v>
      </c>
      <c r="D49" s="39">
        <v>47</v>
      </c>
      <c r="E49" s="25" t="s">
        <v>239</v>
      </c>
      <c r="F49" s="25" t="s">
        <v>261</v>
      </c>
      <c r="G49" s="40" t="s">
        <v>213</v>
      </c>
      <c r="H49" s="26" t="s">
        <v>171</v>
      </c>
      <c r="I49" s="20" t="s">
        <v>216</v>
      </c>
      <c r="J49" s="56"/>
      <c r="K49" s="16">
        <v>11400</v>
      </c>
      <c r="L49" s="41">
        <f t="shared" si="3"/>
        <v>11.4</v>
      </c>
      <c r="M49" s="19">
        <v>1</v>
      </c>
      <c r="N49" s="22">
        <f t="shared" si="4"/>
        <v>11.4</v>
      </c>
      <c r="O49" s="3">
        <f t="shared" si="5"/>
        <v>2.1016081871345027</v>
      </c>
      <c r="P49" s="20"/>
      <c r="Q49" s="4"/>
      <c r="R49" s="4"/>
      <c r="S49" s="5"/>
      <c r="T49" s="21"/>
    </row>
    <row r="50" spans="1:20" ht="12.75" customHeight="1" x14ac:dyDescent="0.2">
      <c r="A50" s="67">
        <v>24</v>
      </c>
      <c r="B50" s="2" t="s">
        <v>32</v>
      </c>
      <c r="C50" s="68" t="s">
        <v>137</v>
      </c>
      <c r="D50" s="39">
        <v>48</v>
      </c>
      <c r="E50" s="25" t="s">
        <v>240</v>
      </c>
      <c r="F50" s="25" t="s">
        <v>261</v>
      </c>
      <c r="G50" s="40" t="s">
        <v>215</v>
      </c>
      <c r="H50" s="26" t="s">
        <v>171</v>
      </c>
      <c r="I50" s="20" t="s">
        <v>216</v>
      </c>
      <c r="J50" s="56"/>
      <c r="K50" s="16">
        <v>10700</v>
      </c>
      <c r="L50" s="41">
        <f t="shared" si="3"/>
        <v>10.7</v>
      </c>
      <c r="M50" s="19">
        <v>1</v>
      </c>
      <c r="N50" s="22">
        <f t="shared" si="4"/>
        <v>10.7</v>
      </c>
      <c r="O50" s="3">
        <f>($R$27*$S$27)/($Q$27*N50)</f>
        <v>2.2390965732087231</v>
      </c>
      <c r="P50" s="20"/>
      <c r="Q50" s="4"/>
      <c r="R50" s="4"/>
      <c r="S50" s="5"/>
      <c r="T50" s="21"/>
    </row>
    <row r="51" spans="1:20" ht="12.75" customHeight="1" x14ac:dyDescent="0.2">
      <c r="A51" s="1"/>
      <c r="B51" s="2"/>
      <c r="C51" s="68"/>
      <c r="D51" s="25"/>
      <c r="E51" s="25"/>
      <c r="F51" s="25"/>
      <c r="G51" s="25"/>
      <c r="H51" s="26"/>
      <c r="I51" s="20"/>
      <c r="J51" s="27"/>
      <c r="K51" s="16"/>
      <c r="L51" s="38"/>
      <c r="M51" s="19"/>
      <c r="N51" s="22"/>
      <c r="O51" s="20"/>
      <c r="P51" s="20"/>
      <c r="Q51" s="4"/>
      <c r="R51" s="4"/>
      <c r="S51" s="5"/>
      <c r="T51" s="20"/>
    </row>
    <row r="52" spans="1:20" ht="12.75" customHeight="1" x14ac:dyDescent="0.2">
      <c r="A52" s="67">
        <v>1</v>
      </c>
      <c r="B52" s="2" t="s">
        <v>168</v>
      </c>
      <c r="C52" s="68" t="s">
        <v>139</v>
      </c>
      <c r="D52" s="26">
        <v>49</v>
      </c>
      <c r="E52" s="54" t="s">
        <v>241</v>
      </c>
      <c r="F52" s="25" t="s">
        <v>261</v>
      </c>
      <c r="G52" s="84" t="s">
        <v>177</v>
      </c>
      <c r="H52" s="55" t="s">
        <v>171</v>
      </c>
      <c r="I52" s="20" t="s">
        <v>216</v>
      </c>
      <c r="J52" s="56"/>
      <c r="K52" s="16">
        <v>8920</v>
      </c>
      <c r="L52" s="41">
        <f>K52/1000</f>
        <v>8.92</v>
      </c>
      <c r="M52" s="19">
        <v>1</v>
      </c>
      <c r="N52" s="22">
        <f>L52/M52</f>
        <v>8.92</v>
      </c>
      <c r="O52" s="3">
        <f>($R$52*$S$52)/($Q$52*N52)</f>
        <v>2.8026905829596411</v>
      </c>
      <c r="P52" s="20"/>
      <c r="Q52" s="4">
        <v>15</v>
      </c>
      <c r="R52" s="4">
        <v>150</v>
      </c>
      <c r="S52" s="5">
        <v>2.5</v>
      </c>
      <c r="T52" s="21">
        <f>R52-(SUM(O52:O66))</f>
        <v>108.90572446792382</v>
      </c>
    </row>
    <row r="53" spans="1:20" ht="12.75" customHeight="1" x14ac:dyDescent="0.2">
      <c r="A53" s="67">
        <v>2</v>
      </c>
      <c r="B53" s="2" t="s">
        <v>168</v>
      </c>
      <c r="C53" s="68" t="s">
        <v>141</v>
      </c>
      <c r="D53" s="26">
        <v>50</v>
      </c>
      <c r="E53" s="54" t="s">
        <v>242</v>
      </c>
      <c r="F53" s="25" t="s">
        <v>261</v>
      </c>
      <c r="G53" s="84" t="s">
        <v>193</v>
      </c>
      <c r="H53" s="55" t="s">
        <v>171</v>
      </c>
      <c r="I53" s="20" t="s">
        <v>216</v>
      </c>
      <c r="J53" s="56"/>
      <c r="K53" s="16">
        <v>10300</v>
      </c>
      <c r="L53" s="41">
        <f t="shared" ref="L53:L66" si="6">K53/1000</f>
        <v>10.3</v>
      </c>
      <c r="M53" s="19">
        <v>1</v>
      </c>
      <c r="N53" s="22">
        <f t="shared" ref="N53:N66" si="7">L53/M53</f>
        <v>10.3</v>
      </c>
      <c r="O53" s="3">
        <f t="shared" ref="O53:O65" si="8">($R$52*$S$52)/($Q$52*N53)</f>
        <v>2.4271844660194173</v>
      </c>
      <c r="P53" s="20"/>
      <c r="Q53" s="4"/>
      <c r="R53" s="4"/>
      <c r="S53" s="5"/>
      <c r="T53" s="21"/>
    </row>
    <row r="54" spans="1:20" ht="12.75" customHeight="1" x14ac:dyDescent="0.2">
      <c r="A54" s="67">
        <v>3</v>
      </c>
      <c r="B54" s="2" t="s">
        <v>168</v>
      </c>
      <c r="C54" s="68" t="s">
        <v>143</v>
      </c>
      <c r="D54" s="86">
        <v>51</v>
      </c>
      <c r="E54" s="54" t="s">
        <v>243</v>
      </c>
      <c r="F54" s="25" t="s">
        <v>261</v>
      </c>
      <c r="G54" s="84" t="s">
        <v>188</v>
      </c>
      <c r="H54" s="55" t="s">
        <v>171</v>
      </c>
      <c r="I54" s="20" t="s">
        <v>216</v>
      </c>
      <c r="J54" s="56"/>
      <c r="K54" s="16">
        <v>10400</v>
      </c>
      <c r="L54" s="41">
        <f t="shared" si="6"/>
        <v>10.4</v>
      </c>
      <c r="M54" s="19">
        <v>1</v>
      </c>
      <c r="N54" s="22">
        <f t="shared" si="7"/>
        <v>10.4</v>
      </c>
      <c r="O54" s="3">
        <f t="shared" si="8"/>
        <v>2.4038461538461537</v>
      </c>
      <c r="P54" s="20"/>
      <c r="Q54" s="4"/>
      <c r="R54" s="4"/>
      <c r="S54" s="5"/>
      <c r="T54" s="21"/>
    </row>
    <row r="55" spans="1:20" ht="12.75" customHeight="1" x14ac:dyDescent="0.2">
      <c r="A55" s="67">
        <v>4</v>
      </c>
      <c r="B55" s="2" t="s">
        <v>168</v>
      </c>
      <c r="C55" s="68" t="s">
        <v>145</v>
      </c>
      <c r="D55" s="86">
        <v>52</v>
      </c>
      <c r="E55" s="54" t="s">
        <v>244</v>
      </c>
      <c r="F55" s="25" t="s">
        <v>261</v>
      </c>
      <c r="G55" s="84" t="s">
        <v>197</v>
      </c>
      <c r="H55" s="55" t="s">
        <v>171</v>
      </c>
      <c r="I55" s="20" t="s">
        <v>216</v>
      </c>
      <c r="J55" s="56"/>
      <c r="K55" s="16">
        <v>10800</v>
      </c>
      <c r="L55" s="41">
        <f t="shared" si="6"/>
        <v>10.8</v>
      </c>
      <c r="M55" s="19">
        <v>1</v>
      </c>
      <c r="N55" s="22">
        <f t="shared" si="7"/>
        <v>10.8</v>
      </c>
      <c r="O55" s="3">
        <f t="shared" si="8"/>
        <v>2.3148148148148149</v>
      </c>
      <c r="P55" s="20"/>
      <c r="Q55" s="4"/>
      <c r="R55" s="4"/>
      <c r="S55" s="5"/>
      <c r="T55" s="21"/>
    </row>
    <row r="56" spans="1:20" ht="12.75" customHeight="1" x14ac:dyDescent="0.2">
      <c r="A56" s="67">
        <v>5</v>
      </c>
      <c r="B56" s="2" t="s">
        <v>168</v>
      </c>
      <c r="C56" s="68" t="s">
        <v>147</v>
      </c>
      <c r="D56" s="86">
        <v>53</v>
      </c>
      <c r="E56" s="54" t="s">
        <v>245</v>
      </c>
      <c r="F56" s="25" t="s">
        <v>261</v>
      </c>
      <c r="G56" s="84" t="s">
        <v>191</v>
      </c>
      <c r="H56" s="55" t="s">
        <v>171</v>
      </c>
      <c r="I56" s="20" t="s">
        <v>216</v>
      </c>
      <c r="J56" s="56"/>
      <c r="K56" s="16">
        <v>9940</v>
      </c>
      <c r="L56" s="41">
        <f t="shared" si="6"/>
        <v>9.94</v>
      </c>
      <c r="M56" s="19">
        <v>1</v>
      </c>
      <c r="N56" s="22">
        <f t="shared" si="7"/>
        <v>9.94</v>
      </c>
      <c r="O56" s="3">
        <f t="shared" si="8"/>
        <v>2.5150905432595576</v>
      </c>
      <c r="P56" s="20"/>
      <c r="Q56" s="4"/>
      <c r="R56" s="4"/>
      <c r="S56" s="5"/>
      <c r="T56" s="21"/>
    </row>
    <row r="57" spans="1:20" ht="12.75" customHeight="1" x14ac:dyDescent="0.2">
      <c r="A57" s="67">
        <v>6</v>
      </c>
      <c r="B57" s="2" t="s">
        <v>168</v>
      </c>
      <c r="C57" s="68" t="s">
        <v>149</v>
      </c>
      <c r="D57" s="86">
        <v>54</v>
      </c>
      <c r="E57" s="54" t="s">
        <v>246</v>
      </c>
      <c r="F57" s="25" t="s">
        <v>261</v>
      </c>
      <c r="G57" s="84" t="s">
        <v>10</v>
      </c>
      <c r="H57" s="55" t="s">
        <v>171</v>
      </c>
      <c r="I57" s="20" t="s">
        <v>216</v>
      </c>
      <c r="J57" s="56"/>
      <c r="K57" s="16">
        <v>10900</v>
      </c>
      <c r="L57" s="41">
        <f t="shared" si="6"/>
        <v>10.9</v>
      </c>
      <c r="M57" s="19">
        <v>1</v>
      </c>
      <c r="N57" s="22">
        <f t="shared" si="7"/>
        <v>10.9</v>
      </c>
      <c r="O57" s="3">
        <f t="shared" si="8"/>
        <v>2.2935779816513762</v>
      </c>
      <c r="P57" s="20"/>
      <c r="Q57" s="4"/>
      <c r="R57" s="4"/>
      <c r="S57" s="5"/>
      <c r="T57" s="21"/>
    </row>
    <row r="58" spans="1:20" ht="12.75" customHeight="1" x14ac:dyDescent="0.2">
      <c r="A58" s="67">
        <v>7</v>
      </c>
      <c r="B58" s="2" t="s">
        <v>168</v>
      </c>
      <c r="C58" s="68" t="s">
        <v>151</v>
      </c>
      <c r="D58" s="86">
        <v>55</v>
      </c>
      <c r="E58" s="54" t="s">
        <v>247</v>
      </c>
      <c r="F58" s="25" t="s">
        <v>261</v>
      </c>
      <c r="G58" s="84" t="s">
        <v>215</v>
      </c>
      <c r="H58" s="55" t="s">
        <v>171</v>
      </c>
      <c r="I58" s="20" t="s">
        <v>216</v>
      </c>
      <c r="J58" s="56"/>
      <c r="K58" s="16">
        <v>10700</v>
      </c>
      <c r="L58" s="41">
        <f t="shared" si="6"/>
        <v>10.7</v>
      </c>
      <c r="M58" s="19">
        <v>1</v>
      </c>
      <c r="N58" s="22">
        <f t="shared" si="7"/>
        <v>10.7</v>
      </c>
      <c r="O58" s="3">
        <f t="shared" si="8"/>
        <v>2.3364485981308412</v>
      </c>
      <c r="P58" s="20"/>
      <c r="Q58" s="4"/>
      <c r="R58" s="4"/>
      <c r="S58" s="5"/>
      <c r="T58" s="21"/>
    </row>
    <row r="59" spans="1:20" ht="12.75" customHeight="1" x14ac:dyDescent="0.2">
      <c r="A59" s="67">
        <v>8</v>
      </c>
      <c r="B59" s="2" t="s">
        <v>168</v>
      </c>
      <c r="C59" s="68" t="s">
        <v>153</v>
      </c>
      <c r="D59" s="86">
        <v>56</v>
      </c>
      <c r="E59" s="54" t="s">
        <v>248</v>
      </c>
      <c r="F59" s="25" t="s">
        <v>261</v>
      </c>
      <c r="G59" s="84" t="s">
        <v>201</v>
      </c>
      <c r="H59" s="55" t="s">
        <v>171</v>
      </c>
      <c r="I59" s="20" t="s">
        <v>216</v>
      </c>
      <c r="J59" s="56"/>
      <c r="K59" s="16">
        <v>10900</v>
      </c>
      <c r="L59" s="41">
        <f t="shared" si="6"/>
        <v>10.9</v>
      </c>
      <c r="M59" s="19">
        <v>1</v>
      </c>
      <c r="N59" s="22">
        <f t="shared" si="7"/>
        <v>10.9</v>
      </c>
      <c r="O59" s="3">
        <f t="shared" si="8"/>
        <v>2.2935779816513762</v>
      </c>
      <c r="P59" s="20"/>
      <c r="Q59" s="4"/>
      <c r="R59" s="4"/>
      <c r="S59" s="5"/>
      <c r="T59" s="21"/>
    </row>
    <row r="60" spans="1:20" ht="12.75" customHeight="1" x14ac:dyDescent="0.2">
      <c r="A60" s="67">
        <v>9</v>
      </c>
      <c r="B60" s="2" t="s">
        <v>168</v>
      </c>
      <c r="C60" s="68" t="s">
        <v>155</v>
      </c>
      <c r="D60" s="86">
        <v>57</v>
      </c>
      <c r="E60" s="54" t="s">
        <v>249</v>
      </c>
      <c r="F60" s="25" t="s">
        <v>261</v>
      </c>
      <c r="G60" s="84" t="s">
        <v>170</v>
      </c>
      <c r="H60" s="55" t="s">
        <v>171</v>
      </c>
      <c r="I60" s="20" t="s">
        <v>216</v>
      </c>
      <c r="J60" s="56"/>
      <c r="K60" s="16">
        <v>9740</v>
      </c>
      <c r="L60" s="41">
        <f t="shared" si="6"/>
        <v>9.74</v>
      </c>
      <c r="M60" s="19">
        <v>1</v>
      </c>
      <c r="N60" s="22">
        <f t="shared" si="7"/>
        <v>9.74</v>
      </c>
      <c r="O60" s="3">
        <f t="shared" si="8"/>
        <v>2.5667351129363452</v>
      </c>
      <c r="P60" s="20"/>
      <c r="Q60" s="4"/>
      <c r="R60" s="4"/>
      <c r="S60" s="5"/>
      <c r="T60" s="21"/>
    </row>
    <row r="61" spans="1:20" ht="12.75" customHeight="1" x14ac:dyDescent="0.2">
      <c r="A61" s="67">
        <v>10</v>
      </c>
      <c r="B61" s="2" t="s">
        <v>168</v>
      </c>
      <c r="C61" s="68" t="s">
        <v>157</v>
      </c>
      <c r="D61" s="86">
        <v>58</v>
      </c>
      <c r="E61" s="54" t="s">
        <v>250</v>
      </c>
      <c r="F61" s="25" t="s">
        <v>261</v>
      </c>
      <c r="G61" s="84" t="s">
        <v>213</v>
      </c>
      <c r="H61" s="55" t="s">
        <v>171</v>
      </c>
      <c r="I61" s="20" t="s">
        <v>216</v>
      </c>
      <c r="J61" s="56"/>
      <c r="K61" s="16">
        <v>9040</v>
      </c>
      <c r="L61" s="41">
        <f t="shared" si="6"/>
        <v>9.0399999999999991</v>
      </c>
      <c r="M61" s="19">
        <v>1</v>
      </c>
      <c r="N61" s="22">
        <f t="shared" si="7"/>
        <v>9.0399999999999991</v>
      </c>
      <c r="O61" s="3">
        <f t="shared" si="8"/>
        <v>2.7654867256637168</v>
      </c>
      <c r="P61" s="20"/>
      <c r="Q61" s="4"/>
      <c r="R61" s="4"/>
      <c r="S61" s="5"/>
      <c r="T61" s="21"/>
    </row>
    <row r="62" spans="1:20" ht="12.75" customHeight="1" x14ac:dyDescent="0.2">
      <c r="A62" s="67">
        <v>11</v>
      </c>
      <c r="B62" s="2" t="s">
        <v>168</v>
      </c>
      <c r="C62" s="68" t="s">
        <v>159</v>
      </c>
      <c r="D62" s="86">
        <v>59</v>
      </c>
      <c r="E62" s="54" t="s">
        <v>251</v>
      </c>
      <c r="F62" s="25" t="s">
        <v>261</v>
      </c>
      <c r="G62" s="84" t="s">
        <v>199</v>
      </c>
      <c r="H62" s="55" t="s">
        <v>171</v>
      </c>
      <c r="I62" s="20" t="s">
        <v>216</v>
      </c>
      <c r="J62" s="56"/>
      <c r="K62" s="16">
        <v>4130</v>
      </c>
      <c r="L62" s="41">
        <f t="shared" si="6"/>
        <v>4.13</v>
      </c>
      <c r="M62" s="19">
        <v>1</v>
      </c>
      <c r="N62" s="22">
        <f t="shared" si="7"/>
        <v>4.13</v>
      </c>
      <c r="O62" s="3">
        <f t="shared" si="8"/>
        <v>6.053268765133172</v>
      </c>
      <c r="P62" s="20"/>
      <c r="Q62" s="4"/>
      <c r="R62" s="4"/>
      <c r="S62" s="5"/>
      <c r="T62" s="21"/>
    </row>
    <row r="63" spans="1:20" ht="12.75" customHeight="1" x14ac:dyDescent="0.2">
      <c r="A63" s="67">
        <v>12</v>
      </c>
      <c r="B63" s="2" t="s">
        <v>168</v>
      </c>
      <c r="C63" s="68" t="s">
        <v>161</v>
      </c>
      <c r="D63" s="86">
        <v>60</v>
      </c>
      <c r="E63" s="54" t="s">
        <v>252</v>
      </c>
      <c r="F63" s="25" t="s">
        <v>261</v>
      </c>
      <c r="G63" s="84" t="s">
        <v>173</v>
      </c>
      <c r="H63" s="55" t="s">
        <v>171</v>
      </c>
      <c r="I63" s="20" t="s">
        <v>216</v>
      </c>
      <c r="J63" s="56"/>
      <c r="K63" s="16">
        <v>10000</v>
      </c>
      <c r="L63" s="41">
        <f t="shared" si="6"/>
        <v>10</v>
      </c>
      <c r="M63" s="19">
        <v>1</v>
      </c>
      <c r="N63" s="22">
        <f t="shared" si="7"/>
        <v>10</v>
      </c>
      <c r="O63" s="3">
        <f t="shared" si="8"/>
        <v>2.5</v>
      </c>
      <c r="P63" s="20"/>
      <c r="Q63" s="4"/>
      <c r="R63" s="4"/>
      <c r="S63" s="5"/>
      <c r="T63" s="21"/>
    </row>
    <row r="64" spans="1:20" ht="12.75" customHeight="1" x14ac:dyDescent="0.2">
      <c r="A64" s="67">
        <v>13</v>
      </c>
      <c r="B64" s="2" t="s">
        <v>168</v>
      </c>
      <c r="C64" s="68" t="s">
        <v>163</v>
      </c>
      <c r="D64" s="26">
        <v>61</v>
      </c>
      <c r="E64" s="25" t="s">
        <v>253</v>
      </c>
      <c r="F64" s="25" t="s">
        <v>261</v>
      </c>
      <c r="G64" s="25" t="s">
        <v>211</v>
      </c>
      <c r="H64" s="26" t="s">
        <v>171</v>
      </c>
      <c r="I64" s="20" t="s">
        <v>216</v>
      </c>
      <c r="J64" s="27"/>
      <c r="K64" s="16">
        <v>9650</v>
      </c>
      <c r="L64" s="41">
        <f t="shared" si="6"/>
        <v>9.65</v>
      </c>
      <c r="M64" s="19">
        <v>1</v>
      </c>
      <c r="N64" s="22">
        <f t="shared" si="7"/>
        <v>9.65</v>
      </c>
      <c r="O64" s="3">
        <f>($R$52*$S$52)/($Q$52*N64)</f>
        <v>2.5906735751295336</v>
      </c>
      <c r="P64" s="20"/>
      <c r="Q64" s="4"/>
      <c r="R64" s="4"/>
      <c r="S64" s="5"/>
      <c r="T64" s="21"/>
    </row>
    <row r="65" spans="1:20" ht="12.75" customHeight="1" x14ac:dyDescent="0.2">
      <c r="A65" s="67">
        <v>14</v>
      </c>
      <c r="B65" s="2" t="s">
        <v>168</v>
      </c>
      <c r="C65" s="68" t="s">
        <v>165</v>
      </c>
      <c r="D65" s="26">
        <v>62</v>
      </c>
      <c r="E65" s="54" t="s">
        <v>254</v>
      </c>
      <c r="F65" s="25" t="s">
        <v>261</v>
      </c>
      <c r="G65" s="84" t="s">
        <v>195</v>
      </c>
      <c r="H65" s="55" t="s">
        <v>171</v>
      </c>
      <c r="I65" s="20" t="s">
        <v>216</v>
      </c>
      <c r="J65" s="56"/>
      <c r="K65" s="16">
        <v>9900</v>
      </c>
      <c r="L65" s="41">
        <f t="shared" si="6"/>
        <v>9.9</v>
      </c>
      <c r="M65" s="19">
        <v>1</v>
      </c>
      <c r="N65" s="22">
        <f t="shared" si="7"/>
        <v>9.9</v>
      </c>
      <c r="O65" s="3">
        <f t="shared" si="8"/>
        <v>2.5252525252525251</v>
      </c>
      <c r="P65" s="20"/>
      <c r="Q65" s="4"/>
      <c r="R65" s="4"/>
      <c r="S65" s="5"/>
      <c r="T65" s="21"/>
    </row>
    <row r="66" spans="1:20" ht="12.75" customHeight="1" x14ac:dyDescent="0.2">
      <c r="A66" s="67">
        <v>15</v>
      </c>
      <c r="B66" s="2" t="s">
        <v>168</v>
      </c>
      <c r="C66" s="68" t="s">
        <v>167</v>
      </c>
      <c r="D66" s="26">
        <v>63</v>
      </c>
      <c r="E66" s="54" t="s">
        <v>255</v>
      </c>
      <c r="F66" s="25" t="s">
        <v>261</v>
      </c>
      <c r="G66" s="84" t="s">
        <v>203</v>
      </c>
      <c r="H66" s="55" t="s">
        <v>171</v>
      </c>
      <c r="I66" s="20" t="s">
        <v>216</v>
      </c>
      <c r="J66" s="56"/>
      <c r="K66" s="37">
        <v>9240</v>
      </c>
      <c r="L66" s="41">
        <f t="shared" si="6"/>
        <v>9.24</v>
      </c>
      <c r="M66" s="19">
        <v>1</v>
      </c>
      <c r="N66" s="22">
        <f t="shared" si="7"/>
        <v>9.24</v>
      </c>
      <c r="O66" s="3">
        <f>($R$52*$S$52)/($Q$52*N66)</f>
        <v>2.7056277056277058</v>
      </c>
      <c r="P66" s="20"/>
      <c r="Q66" s="4"/>
      <c r="R66" s="4"/>
      <c r="S66" s="5"/>
      <c r="T66" s="21"/>
    </row>
    <row r="67" spans="1:20" ht="12.75" customHeight="1" x14ac:dyDescent="0.2">
      <c r="A67"/>
      <c r="B67"/>
      <c r="C67"/>
      <c r="D67"/>
      <c r="E67"/>
      <c r="F67"/>
      <c r="G67" s="85"/>
      <c r="H67"/>
      <c r="I67"/>
      <c r="J67"/>
      <c r="K67"/>
      <c r="L67"/>
      <c r="M67"/>
      <c r="N67"/>
      <c r="O67"/>
      <c r="P67"/>
      <c r="Q67"/>
      <c r="R67"/>
      <c r="S67"/>
      <c r="T67"/>
    </row>
    <row r="68" spans="1:20" ht="12.75" customHeight="1" x14ac:dyDescent="0.2">
      <c r="A68"/>
      <c r="B68"/>
      <c r="C68"/>
      <c r="D68"/>
      <c r="E68"/>
      <c r="F68"/>
      <c r="G68" s="85"/>
      <c r="H68"/>
      <c r="I68"/>
      <c r="J68"/>
      <c r="K68"/>
      <c r="L68"/>
      <c r="M68"/>
      <c r="N68"/>
      <c r="O68"/>
      <c r="P68"/>
      <c r="Q68"/>
      <c r="R68"/>
      <c r="S68"/>
      <c r="T68"/>
    </row>
    <row r="69" spans="1:20" s="65" customFormat="1" ht="12.75" customHeight="1" x14ac:dyDescent="0.15">
      <c r="A69" s="32"/>
      <c r="B69" s="33"/>
      <c r="C69" s="7"/>
      <c r="D69" s="32"/>
      <c r="E69" s="32"/>
      <c r="F69" s="7"/>
      <c r="G69" s="32"/>
      <c r="H69" s="33"/>
      <c r="I69" s="15"/>
      <c r="J69" s="15"/>
      <c r="K69" s="66"/>
      <c r="L69" s="17"/>
      <c r="M69" s="35"/>
      <c r="N69" s="36"/>
      <c r="O69" s="14"/>
      <c r="P69" s="14"/>
      <c r="Q69" s="7"/>
      <c r="R69" s="7"/>
      <c r="S69" s="15"/>
      <c r="T69" s="14"/>
    </row>
    <row r="70" spans="1:20" ht="12.75" customHeight="1" x14ac:dyDescent="0.2">
      <c r="A70" s="42">
        <v>2</v>
      </c>
      <c r="B70" s="28" t="s">
        <v>15</v>
      </c>
      <c r="C70" s="46"/>
      <c r="D70" s="47"/>
      <c r="E70" s="47"/>
      <c r="K70" s="34"/>
      <c r="Q70" s="10"/>
      <c r="R70" s="7"/>
      <c r="S70" s="7"/>
    </row>
    <row r="71" spans="1:20" ht="12.75" customHeight="1" x14ac:dyDescent="0.2">
      <c r="A71" s="43">
        <v>3</v>
      </c>
      <c r="B71" s="29" t="s">
        <v>16</v>
      </c>
      <c r="C71" s="48"/>
      <c r="D71" s="49"/>
      <c r="E71" s="49"/>
      <c r="K71" s="34"/>
      <c r="Q71" s="10"/>
      <c r="R71" s="7"/>
      <c r="S71" s="7"/>
    </row>
    <row r="72" spans="1:20" ht="12.75" customHeight="1" x14ac:dyDescent="0.2">
      <c r="A72" s="44">
        <v>5</v>
      </c>
      <c r="B72" s="30" t="s">
        <v>17</v>
      </c>
      <c r="C72" s="50"/>
      <c r="D72" s="51"/>
      <c r="E72" s="51"/>
      <c r="Q72" s="10"/>
      <c r="R72" s="7"/>
      <c r="S72" s="7"/>
    </row>
    <row r="73" spans="1:20" ht="12.75" customHeight="1" x14ac:dyDescent="0.2">
      <c r="A73" s="45">
        <v>10</v>
      </c>
      <c r="B73" s="31" t="s">
        <v>18</v>
      </c>
      <c r="C73" s="52"/>
      <c r="D73" s="53"/>
      <c r="E73" s="53"/>
      <c r="Q73" s="10"/>
      <c r="R73" s="7"/>
      <c r="S73" s="7"/>
    </row>
    <row r="74" spans="1:20" ht="12.75" customHeight="1" x14ac:dyDescent="0.2">
      <c r="A74" s="11" t="s">
        <v>12</v>
      </c>
      <c r="Q74" s="10"/>
      <c r="R74" s="7"/>
      <c r="S74" s="7"/>
    </row>
    <row r="75" spans="1:20" ht="12.75" customHeight="1" x14ac:dyDescent="0.2">
      <c r="C75" s="12"/>
      <c r="Q75" s="10"/>
      <c r="R75" s="7"/>
      <c r="S75" s="7"/>
    </row>
    <row r="76" spans="1:20" ht="12.75" customHeight="1" x14ac:dyDescent="0.2">
      <c r="A76" s="13" t="s">
        <v>25</v>
      </c>
      <c r="Q76" s="10"/>
      <c r="R76" s="7"/>
      <c r="S76" s="7"/>
    </row>
    <row r="79" spans="1:20" ht="12.75" customHeight="1" x14ac:dyDescent="0.2">
      <c r="Q79" s="10"/>
    </row>
    <row r="80" spans="1:20" ht="12.75" customHeight="1" x14ac:dyDescent="0.2">
      <c r="Q80" s="10"/>
    </row>
    <row r="81" spans="1:17" ht="12.75" customHeight="1" x14ac:dyDescent="0.2">
      <c r="Q81" s="10"/>
    </row>
    <row r="82" spans="1:17" ht="12.75" customHeight="1" x14ac:dyDescent="0.2">
      <c r="Q82" s="10"/>
    </row>
    <row r="83" spans="1:17" s="6" customFormat="1" ht="12.75" customHeight="1" x14ac:dyDescent="0.15">
      <c r="A83" s="8"/>
      <c r="B83" s="9"/>
      <c r="D83" s="9"/>
      <c r="E83" s="9"/>
      <c r="G83" s="8"/>
      <c r="I83" s="9"/>
      <c r="J83" s="9"/>
      <c r="L83" s="18"/>
      <c r="M83" s="18"/>
      <c r="N83" s="24"/>
      <c r="Q83" s="10"/>
    </row>
    <row r="84" spans="1:17" s="6" customFormat="1" ht="12.75" customHeight="1" x14ac:dyDescent="0.15">
      <c r="A84" s="8"/>
      <c r="B84" s="9"/>
      <c r="D84" s="9"/>
      <c r="E84" s="9"/>
      <c r="G84" s="8"/>
      <c r="I84" s="9"/>
      <c r="J84" s="9"/>
      <c r="L84" s="18"/>
      <c r="M84" s="18"/>
      <c r="N84" s="24"/>
      <c r="Q84" s="10"/>
    </row>
    <row r="85" spans="1:17" s="6" customFormat="1" ht="12.75" customHeight="1" x14ac:dyDescent="0.15">
      <c r="A85" s="8"/>
      <c r="B85" s="9"/>
      <c r="D85" s="9"/>
      <c r="E85" s="9"/>
      <c r="G85" s="8"/>
      <c r="I85" s="9"/>
      <c r="J85" s="9"/>
      <c r="L85" s="18"/>
      <c r="M85" s="18"/>
      <c r="N85" s="24"/>
      <c r="Q85" s="10"/>
    </row>
    <row r="86" spans="1:17" s="6" customFormat="1" ht="12.75" customHeight="1" x14ac:dyDescent="0.15">
      <c r="A86" s="8"/>
      <c r="B86" s="9"/>
      <c r="D86" s="9"/>
      <c r="E86" s="9"/>
      <c r="G86" s="8"/>
      <c r="I86" s="9"/>
      <c r="J86" s="9"/>
      <c r="L86" s="18"/>
      <c r="M86" s="18"/>
      <c r="N86" s="24"/>
      <c r="Q86" s="10"/>
    </row>
    <row r="87" spans="1:17" s="6" customFormat="1" ht="12.75" customHeight="1" x14ac:dyDescent="0.15">
      <c r="A87" s="8"/>
      <c r="B87" s="9"/>
      <c r="D87" s="9"/>
      <c r="E87" s="9"/>
      <c r="G87" s="8"/>
      <c r="I87" s="9"/>
      <c r="J87" s="9"/>
      <c r="L87" s="18"/>
      <c r="M87" s="18"/>
      <c r="N87" s="24"/>
      <c r="Q87" s="10"/>
    </row>
    <row r="88" spans="1:17" s="6" customFormat="1" ht="12.75" customHeight="1" x14ac:dyDescent="0.15">
      <c r="A88" s="8"/>
      <c r="B88" s="9"/>
      <c r="D88" s="9"/>
      <c r="E88" s="9"/>
      <c r="G88" s="8"/>
      <c r="I88" s="9"/>
      <c r="J88" s="9"/>
      <c r="L88" s="18"/>
      <c r="M88" s="18"/>
      <c r="N88" s="24"/>
      <c r="Q88" s="7"/>
    </row>
    <row r="89" spans="1:17" s="6" customFormat="1" ht="12.75" customHeight="1" x14ac:dyDescent="0.15">
      <c r="A89" s="8"/>
      <c r="B89" s="9"/>
      <c r="D89" s="9"/>
      <c r="E89" s="9"/>
      <c r="G89" s="8"/>
      <c r="I89" s="9"/>
      <c r="J89" s="9"/>
      <c r="L89" s="18"/>
      <c r="M89" s="18"/>
      <c r="N89" s="24"/>
      <c r="Q89" s="7"/>
    </row>
    <row r="90" spans="1:17" s="6" customFormat="1" ht="12.75" customHeight="1" x14ac:dyDescent="0.15">
      <c r="A90" s="8"/>
      <c r="B90" s="9"/>
      <c r="D90" s="9"/>
      <c r="E90" s="9"/>
      <c r="G90" s="8"/>
      <c r="I90" s="9"/>
      <c r="J90" s="9"/>
      <c r="L90" s="18"/>
      <c r="M90" s="18"/>
      <c r="N90" s="24"/>
      <c r="Q90" s="7"/>
    </row>
    <row r="91" spans="1:17" s="6" customFormat="1" ht="12.75" customHeight="1" x14ac:dyDescent="0.15">
      <c r="A91" s="8"/>
      <c r="B91" s="9"/>
      <c r="D91" s="9"/>
      <c r="E91" s="9"/>
      <c r="G91" s="8"/>
      <c r="I91" s="9"/>
      <c r="J91" s="9"/>
      <c r="L91" s="18"/>
      <c r="M91" s="18"/>
      <c r="N91" s="24"/>
      <c r="Q91" s="7"/>
    </row>
  </sheetData>
  <printOptions horizontalCentered="1"/>
  <pageMargins left="0.25" right="0.25" top="0.75" bottom="0.75" header="0.3" footer="0.3"/>
  <pageSetup scale="85" fitToHeight="0" orientation="landscape" r:id="rId1"/>
  <headerFooter>
    <oddFooter>&amp;Z&amp;F</oddFooter>
  </headerFooter>
  <rowBreaks count="1" manualBreakCount="1">
    <brk id="25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88681-77CA-44A8-9E40-70320C9215CF}">
  <dimension ref="A1:H66"/>
  <sheetViews>
    <sheetView topLeftCell="A43" workbookViewId="0">
      <selection activeCell="C68" sqref="C68"/>
    </sheetView>
  </sheetViews>
  <sheetFormatPr baseColWidth="10" defaultColWidth="8.83203125" defaultRowHeight="15" x14ac:dyDescent="0.2"/>
  <cols>
    <col min="1" max="1" width="27.83203125" bestFit="1" customWidth="1"/>
    <col min="2" max="2" width="6.83203125" bestFit="1" customWidth="1"/>
    <col min="3" max="3" width="18.5" bestFit="1" customWidth="1"/>
    <col min="4" max="4" width="9.6640625" bestFit="1" customWidth="1"/>
    <col min="5" max="5" width="7.33203125" bestFit="1" customWidth="1"/>
    <col min="6" max="6" width="16.5" bestFit="1" customWidth="1"/>
    <col min="7" max="7" width="12.5" bestFit="1" customWidth="1"/>
    <col min="8" max="8" width="23.33203125" bestFit="1" customWidth="1"/>
  </cols>
  <sheetData>
    <row r="1" spans="1:8" x14ac:dyDescent="0.2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 spans="1:8" x14ac:dyDescent="0.2">
      <c r="A2" t="s">
        <v>41</v>
      </c>
      <c r="B2" t="s">
        <v>42</v>
      </c>
      <c r="C2" t="s">
        <v>43</v>
      </c>
      <c r="D2">
        <v>100</v>
      </c>
      <c r="E2">
        <v>1000</v>
      </c>
      <c r="F2">
        <v>347</v>
      </c>
      <c r="G2">
        <v>2540</v>
      </c>
      <c r="H2">
        <v>12000</v>
      </c>
    </row>
    <row r="3" spans="1:8" x14ac:dyDescent="0.2">
      <c r="A3" t="s">
        <v>41</v>
      </c>
      <c r="B3" t="s">
        <v>44</v>
      </c>
      <c r="C3" t="s">
        <v>45</v>
      </c>
      <c r="D3">
        <v>100</v>
      </c>
      <c r="E3">
        <v>1000</v>
      </c>
      <c r="F3">
        <v>342</v>
      </c>
      <c r="G3">
        <v>2900</v>
      </c>
      <c r="H3">
        <v>13900</v>
      </c>
    </row>
    <row r="4" spans="1:8" x14ac:dyDescent="0.2">
      <c r="A4" t="s">
        <v>41</v>
      </c>
      <c r="B4" t="s">
        <v>46</v>
      </c>
      <c r="C4" t="s">
        <v>47</v>
      </c>
      <c r="D4">
        <v>100</v>
      </c>
      <c r="E4">
        <v>1000</v>
      </c>
      <c r="F4">
        <v>340</v>
      </c>
      <c r="G4">
        <v>2600</v>
      </c>
      <c r="H4">
        <v>12500</v>
      </c>
    </row>
    <row r="5" spans="1:8" x14ac:dyDescent="0.2">
      <c r="A5" t="s">
        <v>41</v>
      </c>
      <c r="B5" t="s">
        <v>48</v>
      </c>
      <c r="C5" t="s">
        <v>49</v>
      </c>
      <c r="D5">
        <v>100</v>
      </c>
      <c r="E5">
        <v>1000</v>
      </c>
      <c r="F5">
        <v>342</v>
      </c>
      <c r="G5">
        <v>2020</v>
      </c>
      <c r="H5">
        <v>9570</v>
      </c>
    </row>
    <row r="6" spans="1:8" x14ac:dyDescent="0.2">
      <c r="A6" t="s">
        <v>41</v>
      </c>
      <c r="B6" t="s">
        <v>50</v>
      </c>
      <c r="C6" t="s">
        <v>51</v>
      </c>
      <c r="D6">
        <v>100</v>
      </c>
      <c r="E6">
        <v>1000</v>
      </c>
      <c r="F6">
        <v>322</v>
      </c>
      <c r="G6">
        <v>2000</v>
      </c>
      <c r="H6">
        <v>10200</v>
      </c>
    </row>
    <row r="7" spans="1:8" x14ac:dyDescent="0.2">
      <c r="A7" t="s">
        <v>41</v>
      </c>
      <c r="B7" t="s">
        <v>52</v>
      </c>
      <c r="C7" t="s">
        <v>53</v>
      </c>
      <c r="D7">
        <v>100</v>
      </c>
      <c r="E7">
        <v>1000</v>
      </c>
      <c r="F7">
        <v>328</v>
      </c>
      <c r="G7">
        <v>2030</v>
      </c>
      <c r="H7">
        <v>10100</v>
      </c>
    </row>
    <row r="8" spans="1:8" x14ac:dyDescent="0.2">
      <c r="A8" t="s">
        <v>41</v>
      </c>
      <c r="B8" t="s">
        <v>54</v>
      </c>
      <c r="C8" t="s">
        <v>55</v>
      </c>
      <c r="D8">
        <v>100</v>
      </c>
      <c r="E8">
        <v>1000</v>
      </c>
      <c r="F8">
        <v>312</v>
      </c>
      <c r="G8">
        <v>1970</v>
      </c>
      <c r="H8">
        <v>10400</v>
      </c>
    </row>
    <row r="9" spans="1:8" x14ac:dyDescent="0.2">
      <c r="A9" t="s">
        <v>41</v>
      </c>
      <c r="B9" t="s">
        <v>56</v>
      </c>
      <c r="C9" t="s">
        <v>57</v>
      </c>
      <c r="D9">
        <v>100</v>
      </c>
      <c r="E9">
        <v>1000</v>
      </c>
      <c r="F9">
        <v>340</v>
      </c>
      <c r="G9">
        <v>2170</v>
      </c>
      <c r="H9">
        <v>10600</v>
      </c>
    </row>
    <row r="10" spans="1:8" x14ac:dyDescent="0.2">
      <c r="A10" t="s">
        <v>41</v>
      </c>
      <c r="B10" t="s">
        <v>58</v>
      </c>
      <c r="C10" t="s">
        <v>59</v>
      </c>
      <c r="D10">
        <v>100</v>
      </c>
      <c r="E10">
        <v>1000</v>
      </c>
      <c r="F10">
        <v>336</v>
      </c>
      <c r="G10">
        <v>1820</v>
      </c>
      <c r="H10">
        <v>8910</v>
      </c>
    </row>
    <row r="11" spans="1:8" x14ac:dyDescent="0.2">
      <c r="A11" t="s">
        <v>41</v>
      </c>
      <c r="B11" t="s">
        <v>60</v>
      </c>
      <c r="C11" t="s">
        <v>61</v>
      </c>
      <c r="D11">
        <v>100</v>
      </c>
      <c r="E11">
        <v>1000</v>
      </c>
      <c r="F11">
        <v>342</v>
      </c>
      <c r="G11">
        <v>2400</v>
      </c>
      <c r="H11">
        <v>11500</v>
      </c>
    </row>
    <row r="12" spans="1:8" x14ac:dyDescent="0.2">
      <c r="A12" t="s">
        <v>41</v>
      </c>
      <c r="B12" t="s">
        <v>62</v>
      </c>
      <c r="C12" t="s">
        <v>63</v>
      </c>
      <c r="D12">
        <v>100</v>
      </c>
      <c r="E12">
        <v>1000</v>
      </c>
      <c r="F12">
        <v>343</v>
      </c>
      <c r="G12">
        <v>2330</v>
      </c>
      <c r="H12">
        <v>11100</v>
      </c>
    </row>
    <row r="13" spans="1:8" x14ac:dyDescent="0.2">
      <c r="A13" t="s">
        <v>41</v>
      </c>
      <c r="B13" t="s">
        <v>64</v>
      </c>
      <c r="C13" t="s">
        <v>65</v>
      </c>
      <c r="D13">
        <v>100</v>
      </c>
      <c r="E13">
        <v>1000</v>
      </c>
      <c r="F13">
        <v>344</v>
      </c>
      <c r="G13">
        <v>2210</v>
      </c>
      <c r="H13">
        <v>10500</v>
      </c>
    </row>
    <row r="14" spans="1:8" x14ac:dyDescent="0.2">
      <c r="A14" t="s">
        <v>41</v>
      </c>
      <c r="B14" t="s">
        <v>66</v>
      </c>
      <c r="C14" t="s">
        <v>67</v>
      </c>
      <c r="D14">
        <v>100</v>
      </c>
      <c r="E14">
        <v>1000</v>
      </c>
      <c r="F14">
        <v>333</v>
      </c>
      <c r="G14">
        <v>2230</v>
      </c>
      <c r="H14">
        <v>10900</v>
      </c>
    </row>
    <row r="15" spans="1:8" x14ac:dyDescent="0.2">
      <c r="A15" t="s">
        <v>41</v>
      </c>
      <c r="B15" t="s">
        <v>68</v>
      </c>
      <c r="C15" t="s">
        <v>69</v>
      </c>
      <c r="D15">
        <v>100</v>
      </c>
      <c r="E15">
        <v>1000</v>
      </c>
      <c r="F15">
        <v>361</v>
      </c>
      <c r="G15">
        <v>3360</v>
      </c>
      <c r="H15">
        <v>15100</v>
      </c>
    </row>
    <row r="16" spans="1:8" x14ac:dyDescent="0.2">
      <c r="A16" t="s">
        <v>41</v>
      </c>
      <c r="B16" t="s">
        <v>70</v>
      </c>
      <c r="C16" t="s">
        <v>71</v>
      </c>
      <c r="D16">
        <v>100</v>
      </c>
      <c r="E16">
        <v>1000</v>
      </c>
      <c r="F16">
        <v>365</v>
      </c>
      <c r="G16">
        <v>2760</v>
      </c>
      <c r="H16">
        <v>12300</v>
      </c>
    </row>
    <row r="17" spans="1:8" x14ac:dyDescent="0.2">
      <c r="A17" t="s">
        <v>41</v>
      </c>
      <c r="B17" t="s">
        <v>72</v>
      </c>
      <c r="C17" t="s">
        <v>73</v>
      </c>
      <c r="D17">
        <v>100</v>
      </c>
      <c r="E17">
        <v>1000</v>
      </c>
      <c r="F17">
        <v>337</v>
      </c>
      <c r="G17">
        <v>2830</v>
      </c>
      <c r="H17">
        <v>13900</v>
      </c>
    </row>
    <row r="18" spans="1:8" x14ac:dyDescent="0.2">
      <c r="A18" t="s">
        <v>41</v>
      </c>
      <c r="B18" t="s">
        <v>74</v>
      </c>
      <c r="C18" t="s">
        <v>75</v>
      </c>
      <c r="D18">
        <v>100</v>
      </c>
      <c r="E18">
        <v>1000</v>
      </c>
      <c r="F18">
        <v>336</v>
      </c>
      <c r="G18">
        <v>1980</v>
      </c>
      <c r="H18">
        <v>9630</v>
      </c>
    </row>
    <row r="19" spans="1:8" x14ac:dyDescent="0.2">
      <c r="A19" t="s">
        <v>41</v>
      </c>
      <c r="B19" t="s">
        <v>76</v>
      </c>
      <c r="C19" t="s">
        <v>77</v>
      </c>
      <c r="D19">
        <v>100</v>
      </c>
      <c r="E19">
        <v>1000</v>
      </c>
      <c r="F19">
        <v>342</v>
      </c>
      <c r="G19">
        <v>2230</v>
      </c>
      <c r="H19">
        <v>10600</v>
      </c>
    </row>
    <row r="20" spans="1:8" x14ac:dyDescent="0.2">
      <c r="A20" t="s">
        <v>41</v>
      </c>
      <c r="B20" t="s">
        <v>78</v>
      </c>
      <c r="C20" t="s">
        <v>79</v>
      </c>
      <c r="D20">
        <v>100</v>
      </c>
      <c r="E20">
        <v>1000</v>
      </c>
      <c r="F20">
        <v>328</v>
      </c>
      <c r="G20">
        <v>2260</v>
      </c>
      <c r="H20">
        <v>11200</v>
      </c>
    </row>
    <row r="21" spans="1:8" x14ac:dyDescent="0.2">
      <c r="A21" t="s">
        <v>41</v>
      </c>
      <c r="B21" t="s">
        <v>80</v>
      </c>
      <c r="C21" t="s">
        <v>81</v>
      </c>
      <c r="D21">
        <v>100</v>
      </c>
      <c r="E21">
        <v>1000</v>
      </c>
      <c r="F21">
        <v>321</v>
      </c>
      <c r="G21">
        <v>2450</v>
      </c>
      <c r="H21">
        <v>12400</v>
      </c>
    </row>
    <row r="22" spans="1:8" x14ac:dyDescent="0.2">
      <c r="A22" t="s">
        <v>41</v>
      </c>
      <c r="B22" t="s">
        <v>82</v>
      </c>
      <c r="C22" t="s">
        <v>83</v>
      </c>
      <c r="D22">
        <v>100</v>
      </c>
      <c r="E22">
        <v>1000</v>
      </c>
      <c r="F22">
        <v>333</v>
      </c>
      <c r="G22">
        <v>1130</v>
      </c>
      <c r="H22">
        <v>5550</v>
      </c>
    </row>
    <row r="23" spans="1:8" x14ac:dyDescent="0.2">
      <c r="A23" t="s">
        <v>41</v>
      </c>
      <c r="B23" t="s">
        <v>84</v>
      </c>
      <c r="C23" t="s">
        <v>85</v>
      </c>
      <c r="D23">
        <v>100</v>
      </c>
      <c r="E23">
        <v>1000</v>
      </c>
      <c r="F23">
        <v>338</v>
      </c>
      <c r="G23">
        <v>2260</v>
      </c>
      <c r="H23">
        <v>10900</v>
      </c>
    </row>
    <row r="24" spans="1:8" x14ac:dyDescent="0.2">
      <c r="A24" t="s">
        <v>41</v>
      </c>
      <c r="B24" t="s">
        <v>86</v>
      </c>
      <c r="C24" t="s">
        <v>87</v>
      </c>
      <c r="D24">
        <v>100</v>
      </c>
      <c r="E24">
        <v>1000</v>
      </c>
      <c r="F24">
        <v>365</v>
      </c>
      <c r="G24">
        <v>2640</v>
      </c>
      <c r="H24">
        <v>11900</v>
      </c>
    </row>
    <row r="25" spans="1:8" x14ac:dyDescent="0.2">
      <c r="A25" t="s">
        <v>41</v>
      </c>
      <c r="B25" t="s">
        <v>88</v>
      </c>
      <c r="C25" t="s">
        <v>89</v>
      </c>
      <c r="D25">
        <v>100</v>
      </c>
      <c r="E25">
        <v>1000</v>
      </c>
      <c r="F25">
        <v>341</v>
      </c>
      <c r="G25">
        <v>2030</v>
      </c>
      <c r="H25">
        <v>9780</v>
      </c>
    </row>
    <row r="27" spans="1:8" x14ac:dyDescent="0.2">
      <c r="A27" t="s">
        <v>41</v>
      </c>
      <c r="B27" t="s">
        <v>90</v>
      </c>
      <c r="C27" t="s">
        <v>91</v>
      </c>
      <c r="D27">
        <v>100</v>
      </c>
      <c r="E27">
        <v>1000</v>
      </c>
      <c r="F27">
        <v>343</v>
      </c>
      <c r="G27">
        <v>2090</v>
      </c>
      <c r="H27">
        <v>10000</v>
      </c>
    </row>
    <row r="28" spans="1:8" x14ac:dyDescent="0.2">
      <c r="A28" t="s">
        <v>41</v>
      </c>
      <c r="B28" t="s">
        <v>92</v>
      </c>
      <c r="C28" t="s">
        <v>93</v>
      </c>
      <c r="D28">
        <v>100</v>
      </c>
      <c r="E28">
        <v>1000</v>
      </c>
      <c r="F28">
        <v>350</v>
      </c>
      <c r="G28">
        <v>2440</v>
      </c>
      <c r="H28">
        <v>11500</v>
      </c>
    </row>
    <row r="29" spans="1:8" x14ac:dyDescent="0.2">
      <c r="A29" t="s">
        <v>41</v>
      </c>
      <c r="B29" t="s">
        <v>94</v>
      </c>
      <c r="C29" t="s">
        <v>95</v>
      </c>
      <c r="D29">
        <v>100</v>
      </c>
      <c r="E29">
        <v>1000</v>
      </c>
      <c r="F29">
        <v>325</v>
      </c>
      <c r="G29">
        <v>2060</v>
      </c>
      <c r="H29">
        <v>10500</v>
      </c>
    </row>
    <row r="30" spans="1:8" x14ac:dyDescent="0.2">
      <c r="A30" t="s">
        <v>41</v>
      </c>
      <c r="B30" t="s">
        <v>96</v>
      </c>
      <c r="C30" t="s">
        <v>97</v>
      </c>
      <c r="D30">
        <v>100</v>
      </c>
      <c r="E30">
        <v>1000</v>
      </c>
      <c r="F30">
        <v>348</v>
      </c>
      <c r="G30">
        <v>2390</v>
      </c>
      <c r="H30">
        <v>11300</v>
      </c>
    </row>
    <row r="31" spans="1:8" x14ac:dyDescent="0.2">
      <c r="A31" t="s">
        <v>41</v>
      </c>
      <c r="B31" t="s">
        <v>98</v>
      </c>
      <c r="C31" t="s">
        <v>99</v>
      </c>
      <c r="D31">
        <v>100</v>
      </c>
      <c r="E31">
        <v>1000</v>
      </c>
      <c r="F31">
        <v>342</v>
      </c>
      <c r="G31">
        <v>2290</v>
      </c>
      <c r="H31">
        <v>10900</v>
      </c>
    </row>
    <row r="32" spans="1:8" x14ac:dyDescent="0.2">
      <c r="A32" t="s">
        <v>41</v>
      </c>
      <c r="B32" t="s">
        <v>100</v>
      </c>
      <c r="C32" t="s">
        <v>101</v>
      </c>
      <c r="D32">
        <v>100</v>
      </c>
      <c r="E32">
        <v>1000</v>
      </c>
      <c r="F32">
        <v>344</v>
      </c>
      <c r="G32">
        <v>2200</v>
      </c>
      <c r="H32">
        <v>10500</v>
      </c>
    </row>
    <row r="33" spans="1:8" x14ac:dyDescent="0.2">
      <c r="A33" t="s">
        <v>41</v>
      </c>
      <c r="B33" t="s">
        <v>102</v>
      </c>
      <c r="C33" t="s">
        <v>103</v>
      </c>
      <c r="D33">
        <v>100</v>
      </c>
      <c r="E33">
        <v>1000</v>
      </c>
      <c r="F33">
        <v>356</v>
      </c>
      <c r="G33">
        <v>2090</v>
      </c>
      <c r="H33">
        <v>9660</v>
      </c>
    </row>
    <row r="34" spans="1:8" x14ac:dyDescent="0.2">
      <c r="A34" t="s">
        <v>41</v>
      </c>
      <c r="B34" t="s">
        <v>104</v>
      </c>
      <c r="C34" t="s">
        <v>105</v>
      </c>
      <c r="D34">
        <v>100</v>
      </c>
      <c r="E34">
        <v>1000</v>
      </c>
      <c r="F34">
        <v>320</v>
      </c>
      <c r="G34">
        <v>1730</v>
      </c>
      <c r="H34">
        <v>8910</v>
      </c>
    </row>
    <row r="35" spans="1:8" x14ac:dyDescent="0.2">
      <c r="A35" t="s">
        <v>41</v>
      </c>
      <c r="B35" t="s">
        <v>106</v>
      </c>
      <c r="C35" t="s">
        <v>107</v>
      </c>
      <c r="D35">
        <v>100</v>
      </c>
      <c r="E35">
        <v>1000</v>
      </c>
      <c r="F35">
        <v>355</v>
      </c>
      <c r="G35">
        <v>1970</v>
      </c>
      <c r="H35">
        <v>9140</v>
      </c>
    </row>
    <row r="36" spans="1:8" x14ac:dyDescent="0.2">
      <c r="A36" t="s">
        <v>41</v>
      </c>
      <c r="B36" t="s">
        <v>108</v>
      </c>
      <c r="C36" t="s">
        <v>109</v>
      </c>
      <c r="D36">
        <v>100</v>
      </c>
      <c r="E36">
        <v>1000</v>
      </c>
      <c r="F36">
        <v>364</v>
      </c>
      <c r="G36">
        <v>2190</v>
      </c>
      <c r="H36">
        <v>9940</v>
      </c>
    </row>
    <row r="37" spans="1:8" x14ac:dyDescent="0.2">
      <c r="A37" t="s">
        <v>41</v>
      </c>
      <c r="B37" t="s">
        <v>110</v>
      </c>
      <c r="C37" t="s">
        <v>111</v>
      </c>
      <c r="D37">
        <v>100</v>
      </c>
      <c r="E37">
        <v>1000</v>
      </c>
      <c r="F37">
        <v>328</v>
      </c>
      <c r="G37">
        <v>1900</v>
      </c>
      <c r="H37">
        <v>9460</v>
      </c>
    </row>
    <row r="38" spans="1:8" x14ac:dyDescent="0.2">
      <c r="A38" t="s">
        <v>41</v>
      </c>
      <c r="B38" t="s">
        <v>112</v>
      </c>
      <c r="C38" t="s">
        <v>113</v>
      </c>
      <c r="D38">
        <v>100</v>
      </c>
      <c r="E38">
        <v>1000</v>
      </c>
      <c r="F38">
        <v>340</v>
      </c>
      <c r="G38">
        <v>2340</v>
      </c>
      <c r="H38">
        <v>11300</v>
      </c>
    </row>
    <row r="39" spans="1:8" x14ac:dyDescent="0.2">
      <c r="A39" t="s">
        <v>41</v>
      </c>
      <c r="B39" t="s">
        <v>114</v>
      </c>
      <c r="C39" t="s">
        <v>115</v>
      </c>
      <c r="D39">
        <v>100</v>
      </c>
      <c r="E39">
        <v>1000</v>
      </c>
      <c r="F39">
        <v>337</v>
      </c>
      <c r="G39">
        <v>2150</v>
      </c>
      <c r="H39">
        <v>10400</v>
      </c>
    </row>
    <row r="40" spans="1:8" x14ac:dyDescent="0.2">
      <c r="A40" t="s">
        <v>41</v>
      </c>
      <c r="B40" t="s">
        <v>116</v>
      </c>
      <c r="C40" t="s">
        <v>117</v>
      </c>
      <c r="D40">
        <v>100</v>
      </c>
      <c r="E40">
        <v>1000</v>
      </c>
      <c r="F40">
        <v>334</v>
      </c>
      <c r="G40">
        <v>2230</v>
      </c>
      <c r="H40">
        <v>11000</v>
      </c>
    </row>
    <row r="41" spans="1:8" x14ac:dyDescent="0.2">
      <c r="A41" t="s">
        <v>41</v>
      </c>
      <c r="B41" t="s">
        <v>118</v>
      </c>
      <c r="C41" t="s">
        <v>119</v>
      </c>
      <c r="D41">
        <v>100</v>
      </c>
      <c r="E41">
        <v>1000</v>
      </c>
      <c r="F41">
        <v>350</v>
      </c>
      <c r="G41">
        <v>2260</v>
      </c>
      <c r="H41">
        <v>10600</v>
      </c>
    </row>
    <row r="42" spans="1:8" x14ac:dyDescent="0.2">
      <c r="A42" t="s">
        <v>41</v>
      </c>
      <c r="B42" t="s">
        <v>120</v>
      </c>
      <c r="C42" t="s">
        <v>121</v>
      </c>
      <c r="D42">
        <v>100</v>
      </c>
      <c r="E42">
        <v>1000</v>
      </c>
      <c r="F42">
        <v>340</v>
      </c>
      <c r="G42">
        <v>1960</v>
      </c>
      <c r="H42">
        <v>9450</v>
      </c>
    </row>
    <row r="43" spans="1:8" x14ac:dyDescent="0.2">
      <c r="A43" t="s">
        <v>41</v>
      </c>
      <c r="B43" t="s">
        <v>122</v>
      </c>
      <c r="C43" t="s">
        <v>123</v>
      </c>
      <c r="D43">
        <v>100</v>
      </c>
      <c r="E43">
        <v>1000</v>
      </c>
      <c r="F43">
        <v>345</v>
      </c>
      <c r="G43">
        <v>2080</v>
      </c>
      <c r="H43">
        <v>9860</v>
      </c>
    </row>
    <row r="44" spans="1:8" x14ac:dyDescent="0.2">
      <c r="A44" t="s">
        <v>41</v>
      </c>
      <c r="B44" t="s">
        <v>124</v>
      </c>
      <c r="C44" t="s">
        <v>125</v>
      </c>
      <c r="D44">
        <v>100</v>
      </c>
      <c r="E44">
        <v>1000</v>
      </c>
      <c r="F44">
        <v>354</v>
      </c>
      <c r="G44">
        <v>2040</v>
      </c>
      <c r="H44">
        <v>9470</v>
      </c>
    </row>
    <row r="45" spans="1:8" x14ac:dyDescent="0.2">
      <c r="A45" t="s">
        <v>41</v>
      </c>
      <c r="B45" t="s">
        <v>126</v>
      </c>
      <c r="C45" t="s">
        <v>127</v>
      </c>
      <c r="D45">
        <v>100</v>
      </c>
      <c r="E45">
        <v>1000</v>
      </c>
      <c r="F45">
        <v>341</v>
      </c>
      <c r="G45">
        <v>2140</v>
      </c>
      <c r="H45">
        <v>10300</v>
      </c>
    </row>
    <row r="46" spans="1:8" x14ac:dyDescent="0.2">
      <c r="A46" t="s">
        <v>41</v>
      </c>
      <c r="B46" t="s">
        <v>128</v>
      </c>
      <c r="C46" t="s">
        <v>129</v>
      </c>
      <c r="D46">
        <v>100</v>
      </c>
      <c r="E46">
        <v>1000</v>
      </c>
      <c r="F46">
        <v>346</v>
      </c>
      <c r="G46">
        <v>2110</v>
      </c>
      <c r="H46">
        <v>10100</v>
      </c>
    </row>
    <row r="47" spans="1:8" x14ac:dyDescent="0.2">
      <c r="A47" t="s">
        <v>41</v>
      </c>
      <c r="B47" t="s">
        <v>130</v>
      </c>
      <c r="C47" t="s">
        <v>131</v>
      </c>
      <c r="D47">
        <v>100</v>
      </c>
      <c r="E47">
        <v>1000</v>
      </c>
      <c r="F47">
        <v>335</v>
      </c>
      <c r="G47">
        <v>2410</v>
      </c>
      <c r="H47">
        <v>11900</v>
      </c>
    </row>
    <row r="48" spans="1:8" x14ac:dyDescent="0.2">
      <c r="A48" t="s">
        <v>41</v>
      </c>
      <c r="B48" t="s">
        <v>132</v>
      </c>
      <c r="C48" t="s">
        <v>133</v>
      </c>
      <c r="D48">
        <v>100</v>
      </c>
      <c r="E48">
        <v>1000</v>
      </c>
      <c r="F48">
        <v>341</v>
      </c>
      <c r="G48">
        <v>1940</v>
      </c>
      <c r="H48">
        <v>9460</v>
      </c>
    </row>
    <row r="49" spans="1:8" x14ac:dyDescent="0.2">
      <c r="A49" t="s">
        <v>41</v>
      </c>
      <c r="B49" t="s">
        <v>134</v>
      </c>
      <c r="C49" t="s">
        <v>135</v>
      </c>
      <c r="D49">
        <v>100</v>
      </c>
      <c r="E49">
        <v>1000</v>
      </c>
      <c r="F49">
        <v>348</v>
      </c>
      <c r="G49">
        <v>2430</v>
      </c>
      <c r="H49">
        <v>11400</v>
      </c>
    </row>
    <row r="50" spans="1:8" x14ac:dyDescent="0.2">
      <c r="A50" t="s">
        <v>41</v>
      </c>
      <c r="B50" t="s">
        <v>136</v>
      </c>
      <c r="C50" t="s">
        <v>137</v>
      </c>
      <c r="D50">
        <v>100</v>
      </c>
      <c r="E50">
        <v>1000</v>
      </c>
      <c r="F50">
        <v>369</v>
      </c>
      <c r="G50">
        <v>2430</v>
      </c>
      <c r="H50">
        <v>10700</v>
      </c>
    </row>
    <row r="52" spans="1:8" x14ac:dyDescent="0.2">
      <c r="A52" t="s">
        <v>41</v>
      </c>
      <c r="B52" t="s">
        <v>138</v>
      </c>
      <c r="C52" t="s">
        <v>139</v>
      </c>
      <c r="D52">
        <v>100</v>
      </c>
      <c r="E52">
        <v>1000</v>
      </c>
      <c r="F52">
        <v>322</v>
      </c>
      <c r="G52">
        <v>1750</v>
      </c>
      <c r="H52">
        <v>8920</v>
      </c>
    </row>
    <row r="53" spans="1:8" x14ac:dyDescent="0.2">
      <c r="A53" t="s">
        <v>41</v>
      </c>
      <c r="B53" t="s">
        <v>140</v>
      </c>
      <c r="C53" t="s">
        <v>141</v>
      </c>
      <c r="D53">
        <v>100</v>
      </c>
      <c r="E53">
        <v>1000</v>
      </c>
      <c r="F53">
        <v>318</v>
      </c>
      <c r="G53">
        <v>2000</v>
      </c>
      <c r="H53">
        <v>10300</v>
      </c>
    </row>
    <row r="54" spans="1:8" x14ac:dyDescent="0.2">
      <c r="A54" t="s">
        <v>41</v>
      </c>
      <c r="B54" t="s">
        <v>142</v>
      </c>
      <c r="C54" t="s">
        <v>143</v>
      </c>
      <c r="D54">
        <v>100</v>
      </c>
      <c r="E54">
        <v>1000</v>
      </c>
      <c r="F54">
        <v>338</v>
      </c>
      <c r="G54">
        <v>2140</v>
      </c>
      <c r="H54">
        <v>10400</v>
      </c>
    </row>
    <row r="55" spans="1:8" x14ac:dyDescent="0.2">
      <c r="A55" t="s">
        <v>41</v>
      </c>
      <c r="B55" t="s">
        <v>144</v>
      </c>
      <c r="C55" t="s">
        <v>145</v>
      </c>
      <c r="D55">
        <v>100</v>
      </c>
      <c r="E55">
        <v>1000</v>
      </c>
      <c r="F55">
        <v>327</v>
      </c>
      <c r="G55">
        <v>2150</v>
      </c>
      <c r="H55">
        <v>10800</v>
      </c>
    </row>
    <row r="56" spans="1:8" x14ac:dyDescent="0.2">
      <c r="A56" t="s">
        <v>41</v>
      </c>
      <c r="B56" t="s">
        <v>146</v>
      </c>
      <c r="C56" t="s">
        <v>147</v>
      </c>
      <c r="D56">
        <v>100</v>
      </c>
      <c r="E56">
        <v>1000</v>
      </c>
      <c r="F56">
        <v>340</v>
      </c>
      <c r="G56">
        <v>2050</v>
      </c>
      <c r="H56">
        <v>9940</v>
      </c>
    </row>
    <row r="57" spans="1:8" x14ac:dyDescent="0.2">
      <c r="A57" t="s">
        <v>41</v>
      </c>
      <c r="B57" t="s">
        <v>148</v>
      </c>
      <c r="C57" t="s">
        <v>149</v>
      </c>
      <c r="D57">
        <v>100</v>
      </c>
      <c r="E57">
        <v>1000</v>
      </c>
      <c r="F57">
        <v>337</v>
      </c>
      <c r="G57">
        <v>2240</v>
      </c>
      <c r="H57">
        <v>10900</v>
      </c>
    </row>
    <row r="58" spans="1:8" x14ac:dyDescent="0.2">
      <c r="A58" t="s">
        <v>41</v>
      </c>
      <c r="B58" t="s">
        <v>150</v>
      </c>
      <c r="C58" t="s">
        <v>151</v>
      </c>
      <c r="D58">
        <v>100</v>
      </c>
      <c r="E58">
        <v>1000</v>
      </c>
      <c r="F58">
        <v>341</v>
      </c>
      <c r="G58">
        <v>2240</v>
      </c>
      <c r="H58">
        <v>10700</v>
      </c>
    </row>
    <row r="59" spans="1:8" x14ac:dyDescent="0.2">
      <c r="A59" t="s">
        <v>41</v>
      </c>
      <c r="B59" t="s">
        <v>152</v>
      </c>
      <c r="C59" t="s">
        <v>153</v>
      </c>
      <c r="D59">
        <v>100</v>
      </c>
      <c r="E59">
        <v>1000</v>
      </c>
      <c r="F59">
        <v>320</v>
      </c>
      <c r="G59">
        <v>2160</v>
      </c>
      <c r="H59">
        <v>10900</v>
      </c>
    </row>
    <row r="60" spans="1:8" x14ac:dyDescent="0.2">
      <c r="A60" t="s">
        <v>41</v>
      </c>
      <c r="B60" t="s">
        <v>154</v>
      </c>
      <c r="C60" t="s">
        <v>155</v>
      </c>
      <c r="D60">
        <v>100</v>
      </c>
      <c r="E60">
        <v>1000</v>
      </c>
      <c r="F60">
        <v>336</v>
      </c>
      <c r="G60">
        <v>2000</v>
      </c>
      <c r="H60">
        <v>9740</v>
      </c>
    </row>
    <row r="61" spans="1:8" x14ac:dyDescent="0.2">
      <c r="A61" t="s">
        <v>41</v>
      </c>
      <c r="B61" t="s">
        <v>156</v>
      </c>
      <c r="C61" t="s">
        <v>157</v>
      </c>
      <c r="D61">
        <v>100</v>
      </c>
      <c r="E61">
        <v>1000</v>
      </c>
      <c r="F61">
        <v>327</v>
      </c>
      <c r="G61">
        <v>1800</v>
      </c>
      <c r="H61">
        <v>9040</v>
      </c>
    </row>
    <row r="62" spans="1:8" x14ac:dyDescent="0.2">
      <c r="A62" t="s">
        <v>41</v>
      </c>
      <c r="B62" t="s">
        <v>158</v>
      </c>
      <c r="C62" t="s">
        <v>159</v>
      </c>
      <c r="D62">
        <v>100</v>
      </c>
      <c r="E62">
        <v>1000</v>
      </c>
      <c r="F62">
        <v>301</v>
      </c>
      <c r="G62">
        <v>742</v>
      </c>
      <c r="H62">
        <v>4130</v>
      </c>
    </row>
    <row r="63" spans="1:8" x14ac:dyDescent="0.2">
      <c r="A63" t="s">
        <v>41</v>
      </c>
      <c r="B63" t="s">
        <v>160</v>
      </c>
      <c r="C63" t="s">
        <v>161</v>
      </c>
      <c r="D63">
        <v>100</v>
      </c>
      <c r="E63">
        <v>1000</v>
      </c>
      <c r="F63">
        <v>337</v>
      </c>
      <c r="G63">
        <v>2040</v>
      </c>
      <c r="H63">
        <v>10000</v>
      </c>
    </row>
    <row r="64" spans="1:8" x14ac:dyDescent="0.2">
      <c r="A64" t="s">
        <v>41</v>
      </c>
      <c r="B64" t="s">
        <v>162</v>
      </c>
      <c r="C64" t="s">
        <v>163</v>
      </c>
      <c r="D64">
        <v>100</v>
      </c>
      <c r="E64">
        <v>1000</v>
      </c>
      <c r="F64">
        <v>337</v>
      </c>
      <c r="G64">
        <v>1990</v>
      </c>
      <c r="H64">
        <v>9650</v>
      </c>
    </row>
    <row r="65" spans="1:8" x14ac:dyDescent="0.2">
      <c r="A65" t="s">
        <v>41</v>
      </c>
      <c r="B65" t="s">
        <v>164</v>
      </c>
      <c r="C65" t="s">
        <v>165</v>
      </c>
      <c r="D65">
        <v>100</v>
      </c>
      <c r="E65">
        <v>1000</v>
      </c>
      <c r="F65">
        <v>347</v>
      </c>
      <c r="G65">
        <v>2110</v>
      </c>
      <c r="H65">
        <v>9900</v>
      </c>
    </row>
    <row r="66" spans="1:8" x14ac:dyDescent="0.2">
      <c r="A66" t="s">
        <v>41</v>
      </c>
      <c r="B66" t="s">
        <v>166</v>
      </c>
      <c r="C66" t="s">
        <v>167</v>
      </c>
      <c r="D66">
        <v>100</v>
      </c>
      <c r="E66">
        <v>1000</v>
      </c>
      <c r="F66">
        <v>359</v>
      </c>
      <c r="G66">
        <v>2050</v>
      </c>
      <c r="H66">
        <v>9240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89F4D-0279-439A-A077-0E618AA00225}">
  <dimension ref="A1:K10"/>
  <sheetViews>
    <sheetView workbookViewId="0">
      <selection activeCell="G26" sqref="G26"/>
    </sheetView>
  </sheetViews>
  <sheetFormatPr baseColWidth="10" defaultColWidth="8.83203125" defaultRowHeight="15" x14ac:dyDescent="0.2"/>
  <cols>
    <col min="1" max="1" width="27.83203125" bestFit="1" customWidth="1"/>
    <col min="2" max="2" width="6.83203125" bestFit="1" customWidth="1"/>
    <col min="3" max="3" width="18.5" bestFit="1" customWidth="1"/>
    <col min="4" max="4" width="9.6640625" bestFit="1" customWidth="1"/>
    <col min="5" max="5" width="7.33203125" bestFit="1" customWidth="1"/>
    <col min="6" max="6" width="16.5" bestFit="1" customWidth="1"/>
    <col min="7" max="7" width="12.5" bestFit="1" customWidth="1"/>
    <col min="8" max="8" width="23.33203125" bestFit="1" customWidth="1"/>
  </cols>
  <sheetData>
    <row r="1" spans="1:11" x14ac:dyDescent="0.2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260</v>
      </c>
    </row>
    <row r="2" spans="1:11" x14ac:dyDescent="0.2">
      <c r="A2" t="s">
        <v>259</v>
      </c>
      <c r="B2" t="s">
        <v>44</v>
      </c>
      <c r="C2" t="s">
        <v>256</v>
      </c>
      <c r="D2">
        <v>100</v>
      </c>
      <c r="E2">
        <v>1000</v>
      </c>
      <c r="F2">
        <v>359</v>
      </c>
      <c r="G2">
        <v>610</v>
      </c>
      <c r="H2">
        <v>2840</v>
      </c>
      <c r="I2">
        <f>AVERAGE(H2:H4)</f>
        <v>2800</v>
      </c>
    </row>
    <row r="3" spans="1:11" x14ac:dyDescent="0.2">
      <c r="A3" t="s">
        <v>259</v>
      </c>
      <c r="B3" t="s">
        <v>46</v>
      </c>
      <c r="C3" t="s">
        <v>256</v>
      </c>
      <c r="D3">
        <v>100</v>
      </c>
      <c r="E3">
        <v>1000</v>
      </c>
      <c r="F3">
        <v>343</v>
      </c>
      <c r="G3">
        <v>579</v>
      </c>
      <c r="H3">
        <v>2820</v>
      </c>
      <c r="J3" t="s">
        <v>256</v>
      </c>
      <c r="K3">
        <v>2800</v>
      </c>
    </row>
    <row r="4" spans="1:11" x14ac:dyDescent="0.2">
      <c r="A4" t="s">
        <v>259</v>
      </c>
      <c r="B4" t="s">
        <v>48</v>
      </c>
      <c r="C4" t="s">
        <v>256</v>
      </c>
      <c r="D4">
        <v>100</v>
      </c>
      <c r="E4">
        <v>1000</v>
      </c>
      <c r="F4">
        <v>339</v>
      </c>
      <c r="G4">
        <v>563</v>
      </c>
      <c r="H4">
        <v>2740</v>
      </c>
      <c r="J4" t="s">
        <v>257</v>
      </c>
      <c r="K4">
        <v>2786.6666666666665</v>
      </c>
    </row>
    <row r="5" spans="1:11" x14ac:dyDescent="0.2">
      <c r="A5" t="s">
        <v>259</v>
      </c>
      <c r="B5" t="s">
        <v>50</v>
      </c>
      <c r="C5" t="s">
        <v>257</v>
      </c>
      <c r="D5">
        <v>100</v>
      </c>
      <c r="E5">
        <v>1000</v>
      </c>
      <c r="F5">
        <v>341</v>
      </c>
      <c r="G5">
        <v>572</v>
      </c>
      <c r="H5">
        <v>2770</v>
      </c>
      <c r="I5">
        <f t="shared" ref="I5" si="0">AVERAGE(H5:H7)</f>
        <v>2786.6666666666665</v>
      </c>
      <c r="J5" t="s">
        <v>258</v>
      </c>
      <c r="K5">
        <v>2873.3333333333335</v>
      </c>
    </row>
    <row r="6" spans="1:11" x14ac:dyDescent="0.2">
      <c r="A6" t="s">
        <v>259</v>
      </c>
      <c r="B6" t="s">
        <v>52</v>
      </c>
      <c r="C6" t="s">
        <v>257</v>
      </c>
      <c r="D6">
        <v>100</v>
      </c>
      <c r="E6">
        <v>1000</v>
      </c>
      <c r="F6">
        <v>350</v>
      </c>
      <c r="G6">
        <v>578</v>
      </c>
      <c r="H6">
        <v>2730</v>
      </c>
    </row>
    <row r="7" spans="1:11" x14ac:dyDescent="0.2">
      <c r="A7" t="s">
        <v>259</v>
      </c>
      <c r="B7" t="s">
        <v>54</v>
      </c>
      <c r="C7" t="s">
        <v>257</v>
      </c>
      <c r="D7">
        <v>100</v>
      </c>
      <c r="E7">
        <v>1000</v>
      </c>
      <c r="F7">
        <v>337</v>
      </c>
      <c r="G7">
        <v>584</v>
      </c>
      <c r="H7">
        <v>2860</v>
      </c>
    </row>
    <row r="8" spans="1:11" x14ac:dyDescent="0.2">
      <c r="A8" t="s">
        <v>259</v>
      </c>
      <c r="B8" t="s">
        <v>56</v>
      </c>
      <c r="C8" t="s">
        <v>258</v>
      </c>
      <c r="D8">
        <v>100</v>
      </c>
      <c r="E8">
        <v>1000</v>
      </c>
      <c r="F8">
        <v>326</v>
      </c>
      <c r="G8">
        <v>548</v>
      </c>
      <c r="H8">
        <v>2760</v>
      </c>
      <c r="I8">
        <f t="shared" ref="I8" si="1">AVERAGE(H8:H10)</f>
        <v>2873.3333333333335</v>
      </c>
    </row>
    <row r="9" spans="1:11" x14ac:dyDescent="0.2">
      <c r="A9" t="s">
        <v>259</v>
      </c>
      <c r="B9" t="s">
        <v>58</v>
      </c>
      <c r="C9" t="s">
        <v>258</v>
      </c>
      <c r="D9">
        <v>100</v>
      </c>
      <c r="E9">
        <v>1000</v>
      </c>
      <c r="F9">
        <v>328</v>
      </c>
      <c r="G9">
        <v>546</v>
      </c>
      <c r="H9">
        <v>2760</v>
      </c>
    </row>
    <row r="10" spans="1:11" x14ac:dyDescent="0.2">
      <c r="A10" t="s">
        <v>259</v>
      </c>
      <c r="B10" t="s">
        <v>60</v>
      </c>
      <c r="C10" t="s">
        <v>258</v>
      </c>
      <c r="D10">
        <v>100</v>
      </c>
      <c r="E10">
        <v>1000</v>
      </c>
      <c r="F10">
        <v>325</v>
      </c>
      <c r="G10">
        <v>609</v>
      </c>
      <c r="H10">
        <v>3100</v>
      </c>
    </row>
  </sheetData>
  <sortState xmlns:xlrd2="http://schemas.microsoft.com/office/spreadsheetml/2017/richdata2" ref="J2:K10">
    <sortCondition ref="K2:K1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6A8C-9E8E-4CB9-8423-8E91A1F393EB}">
  <dimension ref="A1:E8"/>
  <sheetViews>
    <sheetView zoomScaleNormal="100" workbookViewId="0">
      <selection activeCell="H12" sqref="H12"/>
    </sheetView>
  </sheetViews>
  <sheetFormatPr baseColWidth="10" defaultColWidth="8.83203125" defaultRowHeight="15" x14ac:dyDescent="0.2"/>
  <cols>
    <col min="1" max="1" width="24.83203125" bestFit="1" customWidth="1"/>
    <col min="2" max="2" width="9.5" customWidth="1"/>
    <col min="3" max="3" width="14" customWidth="1"/>
    <col min="4" max="4" width="10.1640625" customWidth="1"/>
    <col min="5" max="5" width="15.5" style="71" bestFit="1" customWidth="1"/>
  </cols>
  <sheetData>
    <row r="1" spans="1:5" x14ac:dyDescent="0.2">
      <c r="A1" s="70">
        <v>43627</v>
      </c>
    </row>
    <row r="2" spans="1:5" x14ac:dyDescent="0.2">
      <c r="A2" s="72" t="s">
        <v>26</v>
      </c>
    </row>
    <row r="5" spans="1:5" x14ac:dyDescent="0.2">
      <c r="A5" s="73" t="s">
        <v>27</v>
      </c>
      <c r="B5" s="73" t="s">
        <v>28</v>
      </c>
      <c r="C5" s="74" t="s">
        <v>29</v>
      </c>
      <c r="D5" s="75" t="s">
        <v>9</v>
      </c>
      <c r="E5" s="76" t="s">
        <v>30</v>
      </c>
    </row>
    <row r="6" spans="1:5" x14ac:dyDescent="0.2">
      <c r="A6" s="77" t="s">
        <v>256</v>
      </c>
      <c r="B6" s="78">
        <v>2800</v>
      </c>
      <c r="C6" s="79">
        <f>(10/((B6/1000)/E6))</f>
        <v>7.1428571428571432</v>
      </c>
      <c r="D6" s="80">
        <f>10-C6</f>
        <v>2.8571428571428568</v>
      </c>
      <c r="E6" s="81">
        <v>2</v>
      </c>
    </row>
    <row r="7" spans="1:5" x14ac:dyDescent="0.2">
      <c r="A7" s="77" t="s">
        <v>257</v>
      </c>
      <c r="B7" s="78">
        <v>2786.6666666666665</v>
      </c>
      <c r="C7" s="79">
        <f>(10/((B7/1000)/E7))</f>
        <v>7.1770334928229662</v>
      </c>
      <c r="D7" s="80">
        <f t="shared" ref="D7:D8" si="0">10-C7</f>
        <v>2.8229665071770338</v>
      </c>
      <c r="E7" s="81">
        <v>2</v>
      </c>
    </row>
    <row r="8" spans="1:5" x14ac:dyDescent="0.2">
      <c r="A8" s="77" t="s">
        <v>258</v>
      </c>
      <c r="B8" s="78">
        <v>2873.3333333333335</v>
      </c>
      <c r="C8" s="79">
        <f t="shared" ref="C8" si="1">(10/((B8/1000)/E8))</f>
        <v>6.960556844547563</v>
      </c>
      <c r="D8" s="80">
        <f t="shared" si="0"/>
        <v>3.039443155452437</v>
      </c>
      <c r="E8" s="81">
        <v>2</v>
      </c>
    </row>
  </sheetData>
  <pageMargins left="0.7" right="0.7" top="0.75" bottom="0.75" header="0.3" footer="0.3"/>
  <pageSetup orientation="portrait" r:id="rId1"/>
  <headerFoot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Pools</vt:lpstr>
      <vt:lpstr>Noor-10nM_adjusted-upper-marker</vt:lpstr>
      <vt:lpstr>Noor-2.5nM-Pools_2019-06-11 - 1</vt:lpstr>
      <vt:lpstr>Final Pools</vt:lpstr>
      <vt:lpstr>Pools!Print_Titles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Linn Gieser</dc:creator>
  <cp:lastModifiedBy>Soumitra Pal</cp:lastModifiedBy>
  <cp:lastPrinted>2019-06-07T15:59:44Z</cp:lastPrinted>
  <dcterms:created xsi:type="dcterms:W3CDTF">2015-03-13T21:04:33Z</dcterms:created>
  <dcterms:modified xsi:type="dcterms:W3CDTF">2026-01-26T21:37:39Z</dcterms:modified>
</cp:coreProperties>
</file>